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artões" sheetId="1" r:id="rId5"/>
    <sheet state="hidden" name="Jan  2024" sheetId="2" r:id="rId6"/>
    <sheet state="hidden" name="Fev  2024" sheetId="3" r:id="rId7"/>
    <sheet state="hidden" name="Mar  2024 (atualizar)" sheetId="4" r:id="rId8"/>
    <sheet state="hidden" name="Abril  2024" sheetId="5" r:id="rId9"/>
    <sheet state="hidden" name="Maio  2024" sheetId="6" r:id="rId10"/>
    <sheet state="hidden" name="Junho  2024" sheetId="7" r:id="rId11"/>
    <sheet state="hidden" name="Julho  2024" sheetId="8" r:id="rId12"/>
    <sheet state="hidden" name="Agosto  2024" sheetId="9" r:id="rId13"/>
    <sheet state="hidden" name="Setembro  2024" sheetId="10" r:id="rId14"/>
    <sheet state="hidden" name="Outubro  2024" sheetId="11" r:id="rId15"/>
    <sheet state="hidden" name="Novembro  2024" sheetId="12" r:id="rId16"/>
    <sheet state="hidden" name="Janeiro  2025" sheetId="13" r:id="rId17"/>
    <sheet state="hidden" name="Fevereiro  2025" sheetId="14" r:id="rId18"/>
    <sheet state="hidden" name="Março  2025" sheetId="15" r:id="rId19"/>
    <sheet state="hidden" name="Abril  2025" sheetId="16" r:id="rId20"/>
    <sheet state="hidden" name="Maio  2025" sheetId="17" r:id="rId21"/>
    <sheet state="hidden" name="Junho  2025" sheetId="18" r:id="rId22"/>
    <sheet state="hidden" name="Raio-X CC Jun" sheetId="19" r:id="rId23"/>
    <sheet state="hidden" name="Julho  2025" sheetId="20" r:id="rId24"/>
    <sheet state="hidden" name="Agosto  2025" sheetId="21" r:id="rId25"/>
    <sheet state="hidden" name="Setembro  2025" sheetId="22" r:id="rId26"/>
    <sheet state="hidden" name="Outubro  2025" sheetId="23" r:id="rId27"/>
    <sheet state="hidden" name="Novembro  2025" sheetId="24" r:id="rId28"/>
    <sheet state="hidden" name="Dezembro  2025" sheetId="25" r:id="rId29"/>
    <sheet state="hidden" name="Janeiro 2026" sheetId="26" r:id="rId30"/>
    <sheet state="hidden" name="Fevereiro 2026" sheetId="27" r:id="rId31"/>
    <sheet state="hidden" name="Março 2026" sheetId="28" r:id="rId32"/>
    <sheet state="hidden" name="Abril 2026" sheetId="29" r:id="rId33"/>
    <sheet state="hidden" name="Maio 2026" sheetId="30" r:id="rId34"/>
    <sheet state="visible" name="Junho 2026" sheetId="31" r:id="rId35"/>
    <sheet state="visible" name="Julho 2026" sheetId="32" r:id="rId36"/>
    <sheet state="visible" name="Agosto 2026" sheetId="33" r:id="rId37"/>
    <sheet state="visible" name="Setembro 2026" sheetId="34" r:id="rId38"/>
    <sheet state="visible" name="Outubro 2026" sheetId="35" r:id="rId39"/>
    <sheet state="visible" name="Novembro 2026" sheetId="36" r:id="rId40"/>
    <sheet state="visible" name="Dezembro 2026" sheetId="37" r:id="rId41"/>
    <sheet state="visible" name="Mapeamento de Dívidas" sheetId="38" r:id="rId42"/>
    <sheet state="visible" name="Raio-X Mensal" sheetId="39" r:id="rId43"/>
    <sheet state="visible" name="Consumo de Cartão Ao longo do A" sheetId="40" r:id="rId44"/>
  </sheets>
  <definedNames>
    <definedName hidden="1" localSheetId="18" name="_xlnm._FilterDatabase">'Raio-X CC Jun'!$E$3:$I$54</definedName>
  </definedNames>
  <calcPr/>
</workbook>
</file>

<file path=xl/sharedStrings.xml><?xml version="1.0" encoding="utf-8"?>
<sst xmlns="http://schemas.openxmlformats.org/spreadsheetml/2006/main" count="2664" uniqueCount="494">
  <si>
    <t>CARTÃO BB (abril)</t>
  </si>
  <si>
    <t>CARTÃO BB (maio)</t>
  </si>
  <si>
    <t>CARTÃO BB (junho)</t>
  </si>
  <si>
    <t>MERCADOLIVRE*MERCADOLI OSASCO BR</t>
  </si>
  <si>
    <t>PGZ*Sandra S?o Jos? dos BR</t>
  </si>
  <si>
    <t>05/18</t>
  </si>
  <si>
    <t>06/18</t>
  </si>
  <si>
    <t>AUTOGLASS SAO JOSE DOS BR</t>
  </si>
  <si>
    <t>ESAB VILA VELHA BR</t>
  </si>
  <si>
    <t>HOTEL GUARANY AGUAS DE LIND BR</t>
  </si>
  <si>
    <t>PARC=104ESTUDE SEM FRONTERIBEIRAO PRET BR</t>
  </si>
  <si>
    <t>Gringo SAO PAULO BR</t>
  </si>
  <si>
    <t>04/18</t>
  </si>
  <si>
    <t>MercPag*QCONCURSOS OSASCO BR</t>
  </si>
  <si>
    <t>MercPago *MYSTOREML OSASCO BR</t>
  </si>
  <si>
    <t>MercPag*BICHINHOSPELU OSASCO BR</t>
  </si>
  <si>
    <t>PAG*CARLOSBRUNOPARANH SAO JOSE DOS BR</t>
  </si>
  <si>
    <t>CARREFOUR SJC SAO JOSE DOS BR</t>
  </si>
  <si>
    <t>ISABELA FLORES SAO JOAO DA B BR</t>
  </si>
  <si>
    <t>PAG*Apolocasaconstruc SAO JOSE DOS BR</t>
  </si>
  <si>
    <t>PAG*CfcAquarius SAO JOSE DOS BR</t>
  </si>
  <si>
    <t>PAG*Rahra SAO JOSE DOS BR</t>
  </si>
  <si>
    <t>PP *PLANNERSHOP SAO PAULO BR</t>
  </si>
  <si>
    <t>META</t>
  </si>
  <si>
    <t>SOMA TOTAL</t>
  </si>
  <si>
    <t>Disponível</t>
  </si>
  <si>
    <t>SOMA Disp</t>
  </si>
  <si>
    <t>Essencial(55%)</t>
  </si>
  <si>
    <t>Educação(5%)</t>
  </si>
  <si>
    <t>Objetivos(20%)</t>
  </si>
  <si>
    <t>Reserva(10%)</t>
  </si>
  <si>
    <t>Pé na Jaca(10%)</t>
  </si>
  <si>
    <t>Santander</t>
  </si>
  <si>
    <t>Nubank (21/24)</t>
  </si>
  <si>
    <t>Youtube Premium</t>
  </si>
  <si>
    <t>Vivo</t>
  </si>
  <si>
    <t>Kotas (Office)</t>
  </si>
  <si>
    <t>Claro</t>
  </si>
  <si>
    <t>HBO, Disney+ e Netflix</t>
  </si>
  <si>
    <t>Ampla</t>
  </si>
  <si>
    <t>Amazon Prime</t>
  </si>
  <si>
    <t>Unimed</t>
  </si>
  <si>
    <t>Carrefour</t>
  </si>
  <si>
    <t>Seguro</t>
  </si>
  <si>
    <t>Spotify</t>
  </si>
  <si>
    <t>Visagista</t>
  </si>
  <si>
    <t>Renner (1/3)</t>
  </si>
  <si>
    <t>PAGAR ESTE VALOR EXATO</t>
  </si>
  <si>
    <t>Oscar (1/6)</t>
  </si>
  <si>
    <t xml:space="preserve">Soma </t>
  </si>
  <si>
    <t>SOMA</t>
  </si>
  <si>
    <t>CARTÃO</t>
  </si>
  <si>
    <t>Nubank Edy</t>
  </si>
  <si>
    <t>PAINEL DE CONTROLE</t>
  </si>
  <si>
    <t>Observações:</t>
  </si>
  <si>
    <t>Santander Edy</t>
  </si>
  <si>
    <t>Renda Líquida</t>
  </si>
  <si>
    <t>Nubank Lucas</t>
  </si>
  <si>
    <t>Essencial</t>
  </si>
  <si>
    <t>PDA</t>
  </si>
  <si>
    <t>Educação</t>
  </si>
  <si>
    <t>Mercado Pago</t>
  </si>
  <si>
    <t>Objetivos</t>
  </si>
  <si>
    <t>Reserva</t>
  </si>
  <si>
    <t>Pé na Jaca</t>
  </si>
  <si>
    <t>Somatório</t>
  </si>
  <si>
    <t>Renner</t>
  </si>
  <si>
    <t>CRA (1/5)</t>
  </si>
  <si>
    <t>Giovanna</t>
  </si>
  <si>
    <t>!</t>
  </si>
  <si>
    <t>Nubank (23/24)</t>
  </si>
  <si>
    <t>Oscar (2/6)</t>
  </si>
  <si>
    <t>CRA (2/5)</t>
  </si>
  <si>
    <t>Nubank (24/24)</t>
  </si>
  <si>
    <t>CRA (3/5)</t>
  </si>
  <si>
    <t>Oscar (3/6)</t>
  </si>
  <si>
    <t>CRA (4/5)</t>
  </si>
  <si>
    <t>Streaming / Outros (5%)</t>
  </si>
  <si>
    <t>CRA (5/5)</t>
  </si>
  <si>
    <t>Str. / Outros</t>
  </si>
  <si>
    <t>Objetivos e contas provisórias(20%)</t>
  </si>
  <si>
    <t>Empréstimo Nu</t>
  </si>
  <si>
    <t>FIES</t>
  </si>
  <si>
    <t>Passagem Caldas Novas(1/5)</t>
  </si>
  <si>
    <t>Renner (1/3) - 02/07</t>
  </si>
  <si>
    <t>CARTÃO e especiais</t>
  </si>
  <si>
    <t>Observações: Expectativa de 1000 do iphone 11 + 900 da bomba.</t>
  </si>
  <si>
    <t>Objetivos  e c.p</t>
  </si>
  <si>
    <t>Niver Olívia</t>
  </si>
  <si>
    <t>Mesa</t>
  </si>
  <si>
    <t>Passagem Caldas Novas(2/5)</t>
  </si>
  <si>
    <t>Unimed 1</t>
  </si>
  <si>
    <t>Unimed 2</t>
  </si>
  <si>
    <t>Renner (2/3) - 02/08</t>
  </si>
  <si>
    <t>CARTÃO E OUTROS</t>
  </si>
  <si>
    <t>Passagem Caldas Novas(3/5)</t>
  </si>
  <si>
    <t>Renner (3/3) - 02/08</t>
  </si>
  <si>
    <t>Passagem Caldas Novas(4/5)</t>
  </si>
  <si>
    <t>Passagem Caldas Novas(5/5)</t>
  </si>
  <si>
    <t>Terapia 1</t>
  </si>
  <si>
    <t>Netflix</t>
  </si>
  <si>
    <t>Canva</t>
  </si>
  <si>
    <t>Academia</t>
  </si>
  <si>
    <t>ChatGPT</t>
  </si>
  <si>
    <t>Alfa</t>
  </si>
  <si>
    <t>Observações: Preciso analisar os gastos de 07/01 a 17/01 e compreender o porquê de em 10 dias termos gastado todo esse valor. Vê se justifica pelo fato de ter sido aniversário de casamento ou outros gastos extras, porque não faz sentido gastar tanto em 10 dias. Verificar também quais foram as compras feitas, combustível e verificar a reincidência disso.</t>
  </si>
  <si>
    <t>1749,24 pagos</t>
  </si>
  <si>
    <t>10 dias</t>
  </si>
  <si>
    <t>Will</t>
  </si>
  <si>
    <t>Carla (1/3)</t>
  </si>
  <si>
    <t>Mãe (1/5)</t>
  </si>
  <si>
    <t>Lelê (1/10)</t>
  </si>
  <si>
    <t>CapCut</t>
  </si>
  <si>
    <t>Observações: Pra pagar o mercado pago ainda vai entrar 203</t>
  </si>
  <si>
    <t>Carla (2/3)</t>
  </si>
  <si>
    <t>Mãe (2/5)</t>
  </si>
  <si>
    <t>Lelê (2/10)</t>
  </si>
  <si>
    <t>Meli+Disney+</t>
  </si>
  <si>
    <t>Youtube Premium (C.C)</t>
  </si>
  <si>
    <t>Carla (3/3)</t>
  </si>
  <si>
    <t>Vivo (C.C)</t>
  </si>
  <si>
    <t>Kotas (Office)  (C.C)</t>
  </si>
  <si>
    <t>Netflix (C.C)</t>
  </si>
  <si>
    <t>Amazon Prime (C.C)</t>
  </si>
  <si>
    <t>Mãe (3/5)</t>
  </si>
  <si>
    <t>Lelê (3/10)</t>
  </si>
  <si>
    <t>Canva (C.C)</t>
  </si>
  <si>
    <t>Nu</t>
  </si>
  <si>
    <t>Academia (C.C)</t>
  </si>
  <si>
    <t>Meli+</t>
  </si>
  <si>
    <t>Capcut</t>
  </si>
  <si>
    <t xml:space="preserve">Observações: 1450 + 500 </t>
  </si>
  <si>
    <t>SOMA DOS CARTÕES</t>
  </si>
  <si>
    <t>Mãe (4/5)</t>
  </si>
  <si>
    <t>Lelê (4/10)</t>
  </si>
  <si>
    <t>Academia (nubank)</t>
  </si>
  <si>
    <t>Meli+  (C.C)</t>
  </si>
  <si>
    <t>Capcut  (C.C)</t>
  </si>
  <si>
    <t xml:space="preserve">Observações: descontar 235 da starlink do cartão do Mercado Pago. 205 dos streaming já estão em cartão. 95 da vivo está no cartão. Academia vai no cartão, por isso está zerada. </t>
  </si>
  <si>
    <t>Itaú PDA</t>
  </si>
  <si>
    <t>Data</t>
  </si>
  <si>
    <t>Descrição</t>
  </si>
  <si>
    <t>Valor (R$)</t>
  </si>
  <si>
    <t>CLASSE</t>
  </si>
  <si>
    <t>Parcela</t>
  </si>
  <si>
    <t>Valor</t>
  </si>
  <si>
    <t>Accioly - Parcela 2/2</t>
  </si>
  <si>
    <t>CARRO</t>
  </si>
  <si>
    <t>ConectC*LucasMorae</t>
  </si>
  <si>
    <t>CONNECTCAR</t>
  </si>
  <si>
    <t>Poli Pet 02/03</t>
  </si>
  <si>
    <t>BUCK</t>
  </si>
  <si>
    <t>PARC SALDO DE FATURA</t>
  </si>
  <si>
    <t>PARCELAMENTO</t>
  </si>
  <si>
    <t>Oticachillibeans - Parcela 4/10</t>
  </si>
  <si>
    <t>SAÚDE</t>
  </si>
  <si>
    <t>Autozone - Parcela 3/4</t>
  </si>
  <si>
    <t>PG *ESTRATEGIA CO</t>
  </si>
  <si>
    <t>Parcela 5 de 12</t>
  </si>
  <si>
    <t>EDUCAÇÃO</t>
  </si>
  <si>
    <t>Anuidade Diferenci08/12</t>
  </si>
  <si>
    <t>ANUIDADE</t>
  </si>
  <si>
    <t>HTM*ADRIANA TEIX</t>
  </si>
  <si>
    <t>Mp *Youthhallows</t>
  </si>
  <si>
    <t>LANCHES</t>
  </si>
  <si>
    <t>ZAE SAO JOSE</t>
  </si>
  <si>
    <t>ESTACIONAMENTO</t>
  </si>
  <si>
    <t>Villarreal</t>
  </si>
  <si>
    <t>MERCADO</t>
  </si>
  <si>
    <t>SCP BASICO - MAI/25</t>
  </si>
  <si>
    <t>PACOTE BANCO</t>
  </si>
  <si>
    <t>Chronos Personal Train</t>
  </si>
  <si>
    <t>Tauste Supermercados</t>
  </si>
  <si>
    <t>DROGARIA SAO PAULO 035</t>
  </si>
  <si>
    <t>Apple.Com/Bill</t>
  </si>
  <si>
    <t>STREAM/CLOUD</t>
  </si>
  <si>
    <t>PG *PSP GO EXPLO</t>
  </si>
  <si>
    <t>Parcela 4 de 7</t>
  </si>
  <si>
    <t>IDENTIFICAR??</t>
  </si>
  <si>
    <t>VILLARREAL</t>
  </si>
  <si>
    <t>Centroautomotivo</t>
  </si>
  <si>
    <t>CONTA VIVO</t>
  </si>
  <si>
    <t>INTERNET CASA</t>
  </si>
  <si>
    <t>Drogaria Sao Paulo 144</t>
  </si>
  <si>
    <t>CENTROAUTOMOTIVO</t>
  </si>
  <si>
    <t>IFD*IFOOD CLUB</t>
  </si>
  <si>
    <t>Atacadao 0737 As</t>
  </si>
  <si>
    <t>TAUSTE SUPERMERCADOS</t>
  </si>
  <si>
    <t>Aerotatico - Parcela 1/3</t>
  </si>
  <si>
    <t>VESTUÁRIO</t>
  </si>
  <si>
    <t>Drogaria Sao Paulo01/02</t>
  </si>
  <si>
    <t>VAREJAO DE CARNES SOA</t>
  </si>
  <si>
    <t>IFD*SALT GRILL BURGER LAN</t>
  </si>
  <si>
    <t>ANUIDADE DIFERENCIADA</t>
  </si>
  <si>
    <t>Drogaria Cta</t>
  </si>
  <si>
    <t>IFD*55.175.336 JOSE AMILT</t>
  </si>
  <si>
    <t>SIMI ESTETICA</t>
  </si>
  <si>
    <t>ESTÉTICA</t>
  </si>
  <si>
    <t>MARCIO CHURRASCO</t>
  </si>
  <si>
    <t>Allpark Empreendimento</t>
  </si>
  <si>
    <t>Youthhallows</t>
  </si>
  <si>
    <t>MERCADOLIVRE*SIPRIANOVARE</t>
  </si>
  <si>
    <t>Parcela 9 de 18</t>
  </si>
  <si>
    <t>MERCADO LIVRE</t>
  </si>
  <si>
    <t>MERCADOLIVRE*YOURGIFTP</t>
  </si>
  <si>
    <t>Parcela 8 de 12</t>
  </si>
  <si>
    <t>Nsa Comercio Alimentos</t>
  </si>
  <si>
    <t>MP*ELEDELUMINACAOLTDA</t>
  </si>
  <si>
    <t>Parcela 7 de 10</t>
  </si>
  <si>
    <t>Daiso Brasil</t>
  </si>
  <si>
    <t>ITENS DIVERSOS</t>
  </si>
  <si>
    <t>MERCADOLIVRE*MSXVENDAS</t>
  </si>
  <si>
    <t>Parcela 4 de 5</t>
  </si>
  <si>
    <t>Salgados Delicia</t>
  </si>
  <si>
    <t>MP*DARCSMODA</t>
  </si>
  <si>
    <t>Parcela 4 de 4</t>
  </si>
  <si>
    <t>Burger King</t>
  </si>
  <si>
    <t>MERCADOLIVRE*PLANETADOBEB</t>
  </si>
  <si>
    <t>Parcela 4 de 12</t>
  </si>
  <si>
    <t>Lojas Renner Fl - Parcela 1/3</t>
  </si>
  <si>
    <t>MP*ADR</t>
  </si>
  <si>
    <t>Parcela 3 de 6</t>
  </si>
  <si>
    <t>Restaurante Yamabuki</t>
  </si>
  <si>
    <t>EC *TENORMUSICINSTRUME</t>
  </si>
  <si>
    <t>Parcela 3 de 12</t>
  </si>
  <si>
    <t>MERCADOLIVRE*DISTRMARMORE</t>
  </si>
  <si>
    <t>Parcela 3 de 4</t>
  </si>
  <si>
    <t>Mi Ferreira Bebidas</t>
  </si>
  <si>
    <t>MP*DEARTECH</t>
  </si>
  <si>
    <t>Parcela 3 de 7</t>
  </si>
  <si>
    <t>Bdm Mercado Sjc</t>
  </si>
  <si>
    <t>MERCADOLIVRE*CONTROLEML</t>
  </si>
  <si>
    <t>Parcela 2 de 4</t>
  </si>
  <si>
    <t>MERCADOLIVRE*AMARODESCONT</t>
  </si>
  <si>
    <t>Parcela 1 de 3</t>
  </si>
  <si>
    <t>Rua Milton Cruz</t>
  </si>
  <si>
    <t>MERCADOLIVRE*BASEUSBRASIL</t>
  </si>
  <si>
    <t>Parcela 1 de 4</t>
  </si>
  <si>
    <t>JoelDeSouza</t>
  </si>
  <si>
    <t>Parcela 10 de 10</t>
  </si>
  <si>
    <t>MOVELARIA</t>
  </si>
  <si>
    <t>ACADEMIA LEAO MAR</t>
  </si>
  <si>
    <t>Parcela 1 de 6</t>
  </si>
  <si>
    <t>NATAÇÃO OLÍ</t>
  </si>
  <si>
    <t>celcash *Braip</t>
  </si>
  <si>
    <t>Parcela 6 de 12</t>
  </si>
  <si>
    <t>NEGÓCIOS</t>
  </si>
  <si>
    <t>KIWIFY *TemplateNo</t>
  </si>
  <si>
    <t>Parcela 2 de 6</t>
  </si>
  <si>
    <t>Posto Tucano</t>
  </si>
  <si>
    <t>COMBUSTÍVEL</t>
  </si>
  <si>
    <t>APPLE.COM/BILL</t>
  </si>
  <si>
    <t>EBN *Canva04530 82</t>
  </si>
  <si>
    <t>Grupo OLX 4A17D0</t>
  </si>
  <si>
    <t>Parcela 3 de 3</t>
  </si>
  <si>
    <t>OLX</t>
  </si>
  <si>
    <t>Dianepereirada</t>
  </si>
  <si>
    <t>Drogaria_SP drog</t>
  </si>
  <si>
    <t>Parcela 3 de 5</t>
  </si>
  <si>
    <t>Parcela 2 de 3</t>
  </si>
  <si>
    <t>Parcela 1 de 2</t>
  </si>
  <si>
    <t>SOLUMEDI SJC</t>
  </si>
  <si>
    <t>STARLINK INTERNET</t>
  </si>
  <si>
    <t>STARLINK (OK)</t>
  </si>
  <si>
    <t>CANVAPACKS</t>
  </si>
  <si>
    <t>Parcela 7 de 12</t>
  </si>
  <si>
    <t>S e K Alimentacao</t>
  </si>
  <si>
    <t>BRASIL PARAL*Brpa</t>
  </si>
  <si>
    <t>EC*MELIMAIS</t>
  </si>
  <si>
    <t>Google YouTubePremium</t>
  </si>
  <si>
    <t>NETFLIX.COM</t>
  </si>
  <si>
    <t>Google One</t>
  </si>
  <si>
    <t>MP*KOTAS</t>
  </si>
  <si>
    <t>STARLINK</t>
  </si>
  <si>
    <t>NATAÇÃO OLÍVIA</t>
  </si>
  <si>
    <t>IDENTIFICAR</t>
  </si>
  <si>
    <t>VIVO</t>
  </si>
  <si>
    <t>Mãe 5/5)</t>
  </si>
  <si>
    <t>Lelê (5/10)</t>
  </si>
  <si>
    <t>13 edy</t>
  </si>
  <si>
    <t>ferias edy</t>
  </si>
  <si>
    <t>Wap+produto (1/7)</t>
  </si>
  <si>
    <t>13 lucas meio do ano</t>
  </si>
  <si>
    <t>Claro Igreja (oferta)</t>
  </si>
  <si>
    <t>ferias lucas</t>
  </si>
  <si>
    <t>IR Restituido</t>
  </si>
  <si>
    <t>Atualizado em:</t>
  </si>
  <si>
    <t xml:space="preserve">Observações: Para julho, considerar o seguinte no salário: Lucas --&gt; salário + 13 - Edy --&gt; salário + 13 + férias. Descontar 235 da starlink do cartão do Mercado Pago. 205 dos streaming já estão em cartão. 95 da vivo está no cartão. Academia vai no cartão, por isso está zerada. </t>
  </si>
  <si>
    <t>Starlink</t>
  </si>
  <si>
    <t>Streamings</t>
  </si>
  <si>
    <t>Total que sobra</t>
  </si>
  <si>
    <t>Lelê (6/10)</t>
  </si>
  <si>
    <t>Nu (5/5)</t>
  </si>
  <si>
    <t>s</t>
  </si>
  <si>
    <t>Wap+produto (2/7)</t>
  </si>
  <si>
    <t>af</t>
  </si>
  <si>
    <t>sm</t>
  </si>
  <si>
    <t>Beauty Pack</t>
  </si>
  <si>
    <t>Lelê (7/10)</t>
  </si>
  <si>
    <t>Wap+produto (3/7)</t>
  </si>
  <si>
    <t>IPVA</t>
  </si>
  <si>
    <t>GPT</t>
  </si>
  <si>
    <t>Lelê (8/10)</t>
  </si>
  <si>
    <t>Wap+produto (4/7)</t>
  </si>
  <si>
    <t>SL</t>
  </si>
  <si>
    <t>SE</t>
  </si>
  <si>
    <t>Lelê (9/10)</t>
  </si>
  <si>
    <t>deficit a pagar</t>
  </si>
  <si>
    <t>Vivo (MP)</t>
  </si>
  <si>
    <t>oq tem pra cobrir</t>
  </si>
  <si>
    <t>Wap (5/7)</t>
  </si>
  <si>
    <t>falta</t>
  </si>
  <si>
    <t>Roupa pai  (1/3)</t>
  </si>
  <si>
    <t>pago no nu</t>
  </si>
  <si>
    <t>deficit nu</t>
  </si>
  <si>
    <t>Claro Igreja (oferta MP)</t>
  </si>
  <si>
    <t>pago no mp</t>
  </si>
  <si>
    <t>deficit mp</t>
  </si>
  <si>
    <t>Lelê (10/10)</t>
  </si>
  <si>
    <t>Wap (6/7)</t>
  </si>
  <si>
    <t>Nu Edy</t>
  </si>
  <si>
    <t>13 lucas final do ano</t>
  </si>
  <si>
    <t>Dev Nu</t>
  </si>
  <si>
    <t>Quanto gastamos desde o dia 01º:</t>
  </si>
  <si>
    <t>*Lucas*</t>
  </si>
  <si>
    <t>*Segunda*</t>
  </si>
  <si>
    <t>*Terça*</t>
  </si>
  <si>
    <t>Remédios</t>
  </si>
  <si>
    <t>Carnes</t>
  </si>
  <si>
    <t>*Quarta*</t>
  </si>
  <si>
    <t>*Quinta*</t>
  </si>
  <si>
    <t>Dadinho de pão de mel</t>
  </si>
  <si>
    <t>Biricutico</t>
  </si>
  <si>
    <t>*Edy*</t>
  </si>
  <si>
    <t>Segunda</t>
  </si>
  <si>
    <t>Fora</t>
  </si>
  <si>
    <t>Lenço umedecido</t>
  </si>
  <si>
    <t>Terça</t>
  </si>
  <si>
    <t>Wap (7/7)</t>
  </si>
  <si>
    <t>Spotify$$</t>
  </si>
  <si>
    <t>Entradas de Rateio</t>
  </si>
  <si>
    <t>VALOR</t>
  </si>
  <si>
    <t>Claro Igreja</t>
  </si>
  <si>
    <t>Observações: eu adiciono o valor de algumas contas de cartão na renda líquida apenas para fins de controle.</t>
  </si>
  <si>
    <t>SOMA DE OUTROS</t>
  </si>
  <si>
    <t>TOTAL</t>
  </si>
  <si>
    <r>
      <rPr>
        <rFont val="arial,sans,sans-serif"/>
        <color theme="1"/>
      </rPr>
      <t>Observações:</t>
    </r>
    <r>
      <rPr>
        <rFont val="arial,sans,sans-serif"/>
        <b/>
        <color theme="1"/>
      </rPr>
      <t xml:space="preserve"> Nubank Edy (1500 pago, faltam 175)</t>
    </r>
  </si>
  <si>
    <t>Observações: Santander era 4019, paguei 2321.</t>
  </si>
  <si>
    <t>c especial 1</t>
  </si>
  <si>
    <t>13º cheio</t>
  </si>
  <si>
    <t>c especial 2</t>
  </si>
  <si>
    <t>férias</t>
  </si>
  <si>
    <t>Carla</t>
  </si>
  <si>
    <t>meu suado</t>
  </si>
  <si>
    <t>iCloud</t>
  </si>
  <si>
    <t>Observações: Para julho tenho um cheque especial pesado batendo.. Hora de reduzir tudo... além de ter q devolver 2k pra Carla. Ao cair a pecúnia da Edy, precisamos fechar os buracos de cheque especial. Ao cair o aux fardamento extra, colocar de volta no caixa rendendo. Ao fechar o comissionamento, podemos usar. Ao abrir o outro comissionamento, fazer reserva.</t>
  </si>
  <si>
    <t>líquido chorado do 13º</t>
  </si>
  <si>
    <t>MAPEAMENTO DE DÍVIDAS</t>
  </si>
  <si>
    <t>NOME DA DÍVIDA</t>
  </si>
  <si>
    <t>VALOR DA PARCELA</t>
  </si>
  <si>
    <t>VALOR TOTAL DA DÍVIDA HOJE</t>
  </si>
  <si>
    <t>PESSOA FÍSICA</t>
  </si>
  <si>
    <t>PESSOA JURÍDICA</t>
  </si>
  <si>
    <t>total</t>
  </si>
  <si>
    <t>parcela</t>
  </si>
  <si>
    <t>saldo devedor</t>
  </si>
  <si>
    <t>R$ 1.148,94</t>
  </si>
  <si>
    <t>X</t>
  </si>
  <si>
    <t>EMPRÉSTIMO 1 - Nubank Evelyn</t>
  </si>
  <si>
    <t>EMPRÉSTIMO 2</t>
  </si>
  <si>
    <t>EMPRÉSTIMO 3</t>
  </si>
  <si>
    <t>EMPRÉSTIMO 4</t>
  </si>
  <si>
    <t>EMPRÉSTIMO 5</t>
  </si>
  <si>
    <t>EMPRÉSTIMO 6</t>
  </si>
  <si>
    <t>EMPRÉSTIMO 7</t>
  </si>
  <si>
    <t>CE</t>
  </si>
  <si>
    <t>CARTÃO DE CRÉDITO 1 - Nubank Evelyn</t>
  </si>
  <si>
    <t>13ª</t>
  </si>
  <si>
    <t>CARTÃO DE CRÉDITO 2 - Will Evelyn</t>
  </si>
  <si>
    <t>EMP</t>
  </si>
  <si>
    <t>CARTÃO DE CRÉDITO 3 - Santander Evelyn</t>
  </si>
  <si>
    <t>CARTÃO DE CRÉDITO 4 - Nubank Lucas</t>
  </si>
  <si>
    <t>CC</t>
  </si>
  <si>
    <t>CARTÃO DE CRÉDITO 5 - Itaú Lucas</t>
  </si>
  <si>
    <t>CARTÃO DE CRÉDITO 6 - Mercado Pago Lucas</t>
  </si>
  <si>
    <t>CARTÃO DE CRÉDITO 7 - Carrefour</t>
  </si>
  <si>
    <t>DÍVIDA BANCO DO BRASIL (CC, CE, 13ª, EMP.)</t>
  </si>
  <si>
    <t>CHEQUE ESPECIAL - Santander Evelyn</t>
  </si>
  <si>
    <t>ABISSI</t>
  </si>
  <si>
    <t>SOGRA ABISSI</t>
  </si>
  <si>
    <t>LOJA BELLAMIE</t>
  </si>
  <si>
    <t>TERAPIA - Evelyn</t>
  </si>
  <si>
    <t>DOCE DE LEITE E QUEIJO</t>
  </si>
  <si>
    <t>VANDERLI - Eudora</t>
  </si>
  <si>
    <t>MÁQUINA DE LAVAR - Leandro</t>
  </si>
  <si>
    <t>CARLA</t>
  </si>
  <si>
    <t>TOTAL:</t>
  </si>
  <si>
    <t>Raio-X Financeiro Mensal Sol Dantas</t>
  </si>
  <si>
    <t>CALCULE SEU RAIO-X FINANCEIRO</t>
  </si>
  <si>
    <t>SUAS RENDAS</t>
  </si>
  <si>
    <t>Renda Principal</t>
  </si>
  <si>
    <t>Renda Extra</t>
  </si>
  <si>
    <t>Renda Passiva</t>
  </si>
  <si>
    <t>TOTAL DE RENDAS:</t>
  </si>
  <si>
    <t>SUAS DESPESAS MENSAIS</t>
  </si>
  <si>
    <t>Aluguel</t>
  </si>
  <si>
    <t>Taxa do Condomínio</t>
  </si>
  <si>
    <t>Luz</t>
  </si>
  <si>
    <t>Água e Esgoto</t>
  </si>
  <si>
    <t>Celular</t>
  </si>
  <si>
    <t>Internet</t>
  </si>
  <si>
    <t>TV por Assinatura</t>
  </si>
  <si>
    <t>Restaurantes</t>
  </si>
  <si>
    <t>Padaria</t>
  </si>
  <si>
    <t>Março</t>
  </si>
  <si>
    <t>Supermercado</t>
  </si>
  <si>
    <t>Feira-livre</t>
  </si>
  <si>
    <t>Cartão nubank Evelyn</t>
  </si>
  <si>
    <t>pix/débito Evelyn nubank</t>
  </si>
  <si>
    <t>celular lucas</t>
  </si>
  <si>
    <t>ifood</t>
  </si>
  <si>
    <t>Combustível</t>
  </si>
  <si>
    <t>Ifood</t>
  </si>
  <si>
    <t>marileide - corte de cabelo</t>
  </si>
  <si>
    <t>Revisões, Lavagem e Reparos</t>
  </si>
  <si>
    <t>farmácia</t>
  </si>
  <si>
    <t>não lembro o que é</t>
  </si>
  <si>
    <t>Impostos e Taxas (IPVA)</t>
  </si>
  <si>
    <t>Tainá - roupa olivia</t>
  </si>
  <si>
    <t>treinos de milico</t>
  </si>
  <si>
    <t>Estacionamento / Pedágio</t>
  </si>
  <si>
    <t>maanaim olivia</t>
  </si>
  <si>
    <t>Presentes</t>
  </si>
  <si>
    <t>vila real</t>
  </si>
  <si>
    <t>Doações</t>
  </si>
  <si>
    <t>combustível</t>
  </si>
  <si>
    <t>Caridade</t>
  </si>
  <si>
    <t>consulta Stela vilela</t>
  </si>
  <si>
    <t>lojas americanas - lenço umidecido</t>
  </si>
  <si>
    <t>Plano de Saúde</t>
  </si>
  <si>
    <t xml:space="preserve"> </t>
  </si>
  <si>
    <t>Seguro de Vida e Acidentes</t>
  </si>
  <si>
    <t>Consultas Médicas</t>
  </si>
  <si>
    <t>uber</t>
  </si>
  <si>
    <t>maanaim cantina</t>
  </si>
  <si>
    <t>Tratamentos</t>
  </si>
  <si>
    <t>amazon prime canais</t>
  </si>
  <si>
    <t>Bellamie roupa</t>
  </si>
  <si>
    <t>sobrancelha</t>
  </si>
  <si>
    <t>Despesas com Pet</t>
  </si>
  <si>
    <t>Produtos Pessoais</t>
  </si>
  <si>
    <t>Salão de Beleza</t>
  </si>
  <si>
    <t>tauste</t>
  </si>
  <si>
    <t>estacionamento</t>
  </si>
  <si>
    <t>Roupas</t>
  </si>
  <si>
    <t>comunidade marieli</t>
  </si>
  <si>
    <t>Sapatos</t>
  </si>
  <si>
    <t>solumed</t>
  </si>
  <si>
    <t>Escola filhos</t>
  </si>
  <si>
    <t>Saúde filhos</t>
  </si>
  <si>
    <t>Cursos</t>
  </si>
  <si>
    <t>Transporte Escolar</t>
  </si>
  <si>
    <t>Supermecado</t>
  </si>
  <si>
    <t>Pensão</t>
  </si>
  <si>
    <t>Babá</t>
  </si>
  <si>
    <t>Lazer</t>
  </si>
  <si>
    <t>Roupas filhos</t>
  </si>
  <si>
    <t>medico/exame</t>
  </si>
  <si>
    <t>Mesada</t>
  </si>
  <si>
    <t>curso</t>
  </si>
  <si>
    <t>Empréstimos</t>
  </si>
  <si>
    <t>roupa</t>
  </si>
  <si>
    <t>Tarifas bancárias</t>
  </si>
  <si>
    <t>Mensalidades dos cartões</t>
  </si>
  <si>
    <t>canais</t>
  </si>
  <si>
    <t>Cheque Especial</t>
  </si>
  <si>
    <t>Consignados</t>
  </si>
  <si>
    <t>maanaim</t>
  </si>
  <si>
    <t>Impostos</t>
  </si>
  <si>
    <t>sobrancelha/corte de cabelo</t>
  </si>
  <si>
    <t>Taxas</t>
  </si>
  <si>
    <t>Multas</t>
  </si>
  <si>
    <t>não sei o que é</t>
  </si>
  <si>
    <t>Faculdade</t>
  </si>
  <si>
    <t>Livros</t>
  </si>
  <si>
    <t>Férias</t>
  </si>
  <si>
    <t>Cinema e Teatro</t>
  </si>
  <si>
    <t>Hobbies</t>
  </si>
  <si>
    <t>Esportes</t>
  </si>
  <si>
    <t>Churrascos</t>
  </si>
  <si>
    <t>Passeios</t>
  </si>
  <si>
    <t>Outros</t>
  </si>
  <si>
    <t>TOTAL DE DESPESAS:</t>
  </si>
  <si>
    <t>RESULTADO DO SEU RAIO X:</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</si>
</sst>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
    <numFmt numFmtId="165" formatCode="[$R$ -416]#,##0.00"/>
    <numFmt numFmtId="166" formatCode="d mmm"/>
    <numFmt numFmtId="167" formatCode="dd mmm"/>
    <numFmt numFmtId="168" formatCode="d/m"/>
  </numFmts>
  <fonts count="30">
    <font>
      <sz val="10.0"/>
      <color rgb="FF000000"/>
      <name val="Calibri"/>
      <scheme val="minor"/>
    </font>
    <font>
      <b/>
      <sz val="14.0"/>
      <color theme="1"/>
      <name val="Calibri"/>
      <scheme val="minor"/>
    </font>
    <font>
      <color theme="1"/>
      <name val="Calibri"/>
      <scheme val="minor"/>
    </font>
    <font>
      <color rgb="FFFFFFFF"/>
      <name val="Arial"/>
    </font>
    <font>
      <b/>
      <color rgb="FFFFFFFF"/>
      <name val="Arial"/>
    </font>
    <font>
      <color theme="1"/>
      <name val="Arial"/>
    </font>
    <font>
      <color rgb="FF00FF00"/>
      <name val="Arial"/>
    </font>
    <font>
      <b/>
      <color rgb="FF00FF00"/>
      <name val="Arial"/>
    </font>
    <font/>
    <font>
      <b/>
      <i/>
      <color rgb="FFFFFFFF"/>
      <name val="Arial"/>
    </font>
    <font>
      <b/>
      <color theme="1"/>
      <name val="Arial"/>
    </font>
    <font>
      <i/>
      <color rgb="FFFFFFFF"/>
      <name val="Arial"/>
    </font>
    <font>
      <sz val="11.0"/>
      <color theme="1"/>
      <name val="Calibri"/>
      <scheme val="minor"/>
    </font>
    <font>
      <u/>
      <color rgb="FF0000FF"/>
    </font>
    <font>
      <b/>
      <color theme="1"/>
      <name val="Calibri"/>
      <scheme val="minor"/>
    </font>
    <font>
      <i/>
      <color theme="1"/>
      <name val="Arial"/>
    </font>
    <font>
      <color rgb="FF000000"/>
      <name val="Arial"/>
    </font>
    <font>
      <b/>
      <sz val="11.0"/>
      <color theme="1"/>
      <name val="Calibri"/>
      <scheme val="minor"/>
    </font>
    <font>
      <b/>
      <sz val="11.0"/>
      <color rgb="FF000000"/>
      <name val="Arial"/>
    </font>
    <font>
      <b/>
      <color rgb="FF000000"/>
      <name val="Arial"/>
    </font>
    <font>
      <sz val="10.0"/>
      <color theme="1"/>
      <name val="Arial"/>
    </font>
    <font>
      <b/>
      <sz val="10.0"/>
      <color theme="1"/>
      <name val="Arial"/>
    </font>
    <font>
      <b/>
      <color rgb="FFFF0000"/>
      <name val="Arial"/>
    </font>
    <font>
      <i/>
      <color rgb="FF000000"/>
      <name val="Arial"/>
    </font>
    <font>
      <color rgb="FF000000"/>
      <name val="Calibri"/>
      <scheme val="minor"/>
    </font>
    <font>
      <b/>
      <sz val="12.0"/>
      <color rgb="FFB42B14"/>
      <name val="&quot;Arial Black&quot;"/>
    </font>
    <font>
      <b/>
      <sz val="20.0"/>
      <color rgb="FFFFFFFF"/>
      <name val="Calibri"/>
    </font>
    <font>
      <b/>
      <sz val="12.0"/>
      <color rgb="FFFFFFFF"/>
      <name val="Calibri"/>
    </font>
    <font>
      <sz val="12.0"/>
      <color rgb="FF000000"/>
      <name val="Calibri"/>
    </font>
    <font>
      <sz val="11.0"/>
      <color rgb="FF000000"/>
      <name val="Calibri"/>
    </font>
  </fonts>
  <fills count="32">
    <fill>
      <patternFill patternType="none"/>
    </fill>
    <fill>
      <patternFill patternType="lightGray"/>
    </fill>
    <fill>
      <patternFill patternType="solid">
        <fgColor rgb="FF0B5394"/>
        <bgColor rgb="FF0B5394"/>
      </patternFill>
    </fill>
    <fill>
      <patternFill patternType="solid">
        <fgColor rgb="FF3D85C6"/>
        <bgColor rgb="FF3D85C6"/>
      </patternFill>
    </fill>
    <fill>
      <patternFill patternType="solid">
        <fgColor rgb="FF073763"/>
        <bgColor rgb="FF073763"/>
      </patternFill>
    </fill>
    <fill>
      <patternFill patternType="solid">
        <fgColor rgb="FF0000FF"/>
        <bgColor rgb="FF0000FF"/>
      </patternFill>
    </fill>
    <fill>
      <patternFill patternType="solid">
        <fgColor rgb="FF38761D"/>
        <bgColor rgb="FF38761D"/>
      </patternFill>
    </fill>
    <fill>
      <patternFill patternType="solid">
        <fgColor rgb="FF4A86E8"/>
        <bgColor rgb="FF4A86E8"/>
      </patternFill>
    </fill>
    <fill>
      <patternFill patternType="solid">
        <fgColor rgb="FF6D9EEB"/>
        <bgColor rgb="FF6D9EEB"/>
      </patternFill>
    </fill>
    <fill>
      <patternFill patternType="solid">
        <fgColor rgb="FF1155CC"/>
        <bgColor rgb="FF1155CC"/>
      </patternFill>
    </fill>
    <fill>
      <patternFill patternType="solid">
        <fgColor rgb="FF990000"/>
        <bgColor rgb="FF990000"/>
      </patternFill>
    </fill>
    <fill>
      <patternFill patternType="solid">
        <fgColor rgb="FFCC0000"/>
        <bgColor rgb="FFCC0000"/>
      </patternFill>
    </fill>
    <fill>
      <patternFill patternType="solid">
        <fgColor rgb="FFFF0000"/>
        <bgColor rgb="FFFF0000"/>
      </patternFill>
    </fill>
    <fill>
      <patternFill patternType="solid">
        <fgColor rgb="FFFF9900"/>
        <bgColor rgb="FFFF9900"/>
      </patternFill>
    </fill>
    <fill>
      <patternFill patternType="solid">
        <fgColor rgb="FFA61C00"/>
        <bgColor rgb="FFA61C00"/>
      </patternFill>
    </fill>
    <fill>
      <patternFill patternType="solid">
        <fgColor rgb="FFCC4125"/>
        <bgColor rgb="FFCC4125"/>
      </patternFill>
    </fill>
    <fill>
      <patternFill patternType="solid">
        <fgColor rgb="FFE06666"/>
        <bgColor rgb="FFE06666"/>
      </patternFill>
    </fill>
    <fill>
      <patternFill patternType="solid">
        <fgColor rgb="FF980000"/>
        <bgColor rgb="FF980000"/>
      </patternFill>
    </fill>
    <fill>
      <patternFill patternType="solid">
        <fgColor rgb="FFF6B26B"/>
        <bgColor rgb="FFF6B26B"/>
      </patternFill>
    </fill>
    <fill>
      <patternFill patternType="solid">
        <fgColor rgb="FF9900FF"/>
        <bgColor rgb="FF9900FF"/>
      </patternFill>
    </fill>
    <fill>
      <patternFill patternType="solid">
        <fgColor rgb="FFD9EAD3"/>
        <bgColor rgb="FFD9EAD3"/>
      </patternFill>
    </fill>
    <fill>
      <patternFill patternType="solid">
        <fgColor rgb="FFB6D7A8"/>
        <bgColor rgb="FFB6D7A8"/>
      </patternFill>
    </fill>
    <fill>
      <patternFill patternType="solid">
        <fgColor rgb="FFA2C4C9"/>
        <bgColor rgb="FFA2C4C9"/>
      </patternFill>
    </fill>
    <fill>
      <patternFill patternType="solid">
        <fgColor rgb="FFFFFF00"/>
        <bgColor rgb="FFFFFF00"/>
      </patternFill>
    </fill>
    <fill>
      <patternFill patternType="solid">
        <fgColor rgb="FFA4C2F4"/>
        <bgColor rgb="FFA4C2F4"/>
      </patternFill>
    </fill>
    <fill>
      <patternFill patternType="solid">
        <fgColor rgb="FFFFD966"/>
        <bgColor rgb="FFFFD966"/>
      </patternFill>
    </fill>
    <fill>
      <patternFill patternType="solid">
        <fgColor rgb="FFE69138"/>
        <bgColor rgb="FFE69138"/>
      </patternFill>
    </fill>
    <fill>
      <patternFill patternType="solid">
        <fgColor rgb="FFC9DAF8"/>
        <bgColor rgb="FFC9DAF8"/>
      </patternFill>
    </fill>
    <fill>
      <patternFill patternType="solid">
        <fgColor rgb="FFFFFFFF"/>
        <bgColor rgb="FFFFFFFF"/>
      </patternFill>
    </fill>
    <fill>
      <patternFill patternType="solid">
        <fgColor rgb="FFD5B981"/>
        <bgColor rgb="FFD5B981"/>
      </patternFill>
    </fill>
    <fill>
      <patternFill patternType="solid">
        <fgColor rgb="FFB42B14"/>
        <bgColor rgb="FFB42B14"/>
      </patternFill>
    </fill>
    <fill>
      <patternFill patternType="solid">
        <fgColor rgb="FFC00000"/>
        <bgColor rgb="FFC00000"/>
      </patternFill>
    </fill>
  </fills>
  <borders count="25">
    <border/>
    <border>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right style="thin">
        <color rgb="FF000000"/>
      </right>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ck">
        <color rgb="FF000000"/>
      </right>
      <top style="medium">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24">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164" xfId="0" applyAlignment="1" applyFont="1" applyNumberFormat="1">
      <alignment horizontal="center" readingOrder="0"/>
    </xf>
    <xf borderId="0" fillId="0" fontId="2" numFmtId="0" xfId="0" applyAlignment="1" applyFont="1">
      <alignment horizontal="center" readingOrder="0"/>
    </xf>
    <xf borderId="0" fillId="0" fontId="2" numFmtId="165" xfId="0" applyAlignment="1" applyFont="1" applyNumberFormat="1">
      <alignment horizontal="center" readingOrder="0"/>
    </xf>
    <xf borderId="0" fillId="0" fontId="2" numFmtId="165" xfId="0" applyAlignment="1" applyFont="1" applyNumberFormat="1">
      <alignment horizontal="right" readingOrder="0"/>
    </xf>
    <xf borderId="0" fillId="0" fontId="2" numFmtId="165" xfId="0" applyFont="1" applyNumberFormat="1"/>
    <xf borderId="1" fillId="2" fontId="3" numFmtId="0" xfId="0" applyAlignment="1" applyBorder="1" applyFill="1" applyFont="1">
      <alignment horizontal="right" vertical="bottom"/>
    </xf>
    <xf borderId="1" fillId="3" fontId="4" numFmtId="165" xfId="0" applyAlignment="1" applyBorder="1" applyFill="1" applyFont="1" applyNumberFormat="1">
      <alignment horizontal="right" vertical="bottom"/>
    </xf>
    <xf borderId="0" fillId="4" fontId="4" numFmtId="0" xfId="0" applyAlignment="1" applyFill="1" applyFont="1">
      <alignment horizontal="right" vertical="bottom"/>
    </xf>
    <xf borderId="0" fillId="4" fontId="4" numFmtId="165" xfId="0" applyAlignment="1" applyFont="1" applyNumberFormat="1">
      <alignment horizontal="right" vertical="bottom"/>
    </xf>
    <xf borderId="0" fillId="0" fontId="5" numFmtId="0" xfId="0" applyAlignment="1" applyFont="1">
      <alignment vertical="bottom"/>
    </xf>
    <xf borderId="2" fillId="2" fontId="6" numFmtId="0" xfId="0" applyAlignment="1" applyBorder="1" applyFont="1">
      <alignment horizontal="right" vertical="bottom"/>
    </xf>
    <xf borderId="2" fillId="3" fontId="7" numFmtId="165" xfId="0" applyAlignment="1" applyBorder="1" applyFont="1" applyNumberFormat="1">
      <alignment horizontal="right" vertical="bottom"/>
    </xf>
    <xf borderId="3" fillId="4" fontId="4" numFmtId="0" xfId="0" applyAlignment="1" applyBorder="1" applyFont="1">
      <alignment horizontal="right" vertical="bottom"/>
    </xf>
    <xf borderId="3" fillId="4" fontId="7" numFmtId="165" xfId="0" applyAlignment="1" applyBorder="1" applyFont="1" applyNumberFormat="1">
      <alignment horizontal="right" vertical="bottom"/>
    </xf>
    <xf borderId="3" fillId="5" fontId="4" numFmtId="0" xfId="0" applyAlignment="1" applyBorder="1" applyFill="1" applyFont="1">
      <alignment horizontal="center" vertical="bottom"/>
    </xf>
    <xf borderId="3" fillId="0" fontId="8" numFmtId="0" xfId="0" applyBorder="1" applyFont="1"/>
    <xf borderId="2" fillId="0" fontId="8" numFmtId="0" xfId="0" applyBorder="1" applyFont="1"/>
    <xf borderId="2" fillId="6" fontId="3" numFmtId="0" xfId="0" applyAlignment="1" applyBorder="1" applyFill="1" applyFont="1">
      <alignment horizontal="right" vertical="bottom"/>
    </xf>
    <xf borderId="2" fillId="6" fontId="5" numFmtId="165" xfId="0" applyAlignment="1" applyBorder="1" applyFont="1" applyNumberFormat="1">
      <alignment readingOrder="0" vertical="bottom"/>
    </xf>
    <xf borderId="2" fillId="7" fontId="3" numFmtId="0" xfId="0" applyAlignment="1" applyBorder="1" applyFill="1" applyFont="1">
      <alignment horizontal="right" readingOrder="0" vertical="bottom"/>
    </xf>
    <xf borderId="2" fillId="8" fontId="3" numFmtId="165" xfId="0" applyAlignment="1" applyBorder="1" applyFill="1" applyFont="1" applyNumberFormat="1">
      <alignment horizontal="right" readingOrder="0" vertical="bottom"/>
    </xf>
    <xf borderId="2" fillId="8" fontId="5" numFmtId="165" xfId="0" applyAlignment="1" applyBorder="1" applyFont="1" applyNumberFormat="1">
      <alignment readingOrder="0" vertical="bottom"/>
    </xf>
    <xf borderId="2" fillId="6" fontId="5" numFmtId="165" xfId="0" applyAlignment="1" applyBorder="1" applyFont="1" applyNumberFormat="1">
      <alignment vertical="bottom"/>
    </xf>
    <xf borderId="2" fillId="7" fontId="3" numFmtId="0" xfId="0" applyAlignment="1" applyBorder="1" applyFont="1">
      <alignment horizontal="right" vertical="bottom"/>
    </xf>
    <xf borderId="2" fillId="8" fontId="5" numFmtId="165" xfId="0" applyAlignment="1" applyBorder="1" applyFont="1" applyNumberFormat="1">
      <alignment vertical="bottom"/>
    </xf>
    <xf borderId="2" fillId="6" fontId="3" numFmtId="0" xfId="0" applyAlignment="1" applyBorder="1" applyFont="1">
      <alignment horizontal="right" readingOrder="0" vertical="bottom"/>
    </xf>
    <xf borderId="0" fillId="0" fontId="5" numFmtId="165" xfId="0" applyAlignment="1" applyFont="1" applyNumberFormat="1">
      <alignment vertical="bottom"/>
    </xf>
    <xf borderId="1" fillId="6" fontId="3" numFmtId="0" xfId="0" applyAlignment="1" applyBorder="1" applyFont="1">
      <alignment horizontal="right" vertical="bottom"/>
    </xf>
    <xf borderId="1" fillId="6" fontId="5" numFmtId="165" xfId="0" applyAlignment="1" applyBorder="1" applyFont="1" applyNumberFormat="1">
      <alignment horizontal="right" readingOrder="0" vertical="bottom"/>
    </xf>
    <xf borderId="2" fillId="7" fontId="5" numFmtId="0" xfId="0" applyAlignment="1" applyBorder="1" applyFont="1">
      <alignment vertical="bottom"/>
    </xf>
    <xf borderId="1" fillId="7" fontId="3" numFmtId="0" xfId="0" applyAlignment="1" applyBorder="1" applyFont="1">
      <alignment horizontal="right" vertical="bottom"/>
    </xf>
    <xf borderId="1" fillId="8" fontId="5" numFmtId="165" xfId="0" applyAlignment="1" applyBorder="1" applyFont="1" applyNumberFormat="1">
      <alignment horizontal="right" readingOrder="0" vertical="bottom"/>
    </xf>
    <xf borderId="2" fillId="6" fontId="5" numFmtId="0" xfId="0" applyAlignment="1" applyBorder="1" applyFont="1">
      <alignment horizontal="right" readingOrder="0" vertical="bottom"/>
    </xf>
    <xf borderId="0" fillId="0" fontId="5" numFmtId="0" xfId="0" applyAlignment="1" applyFont="1">
      <alignment readingOrder="0" vertical="bottom"/>
    </xf>
    <xf borderId="1" fillId="8" fontId="5" numFmtId="165" xfId="0" applyAlignment="1" applyBorder="1" applyFont="1" applyNumberFormat="1">
      <alignment horizontal="right" vertical="bottom"/>
    </xf>
    <xf borderId="2" fillId="7" fontId="5" numFmtId="0" xfId="0" applyAlignment="1" applyBorder="1" applyFont="1">
      <alignment horizontal="right" readingOrder="0" vertical="bottom"/>
    </xf>
    <xf borderId="2" fillId="8" fontId="4" numFmtId="165" xfId="0" applyAlignment="1" applyBorder="1" applyFont="1" applyNumberFormat="1">
      <alignment horizontal="right" vertical="bottom"/>
    </xf>
    <xf borderId="4" fillId="7" fontId="3" numFmtId="0" xfId="0" applyAlignment="1" applyBorder="1" applyFont="1">
      <alignment horizontal="right" vertical="bottom"/>
    </xf>
    <xf borderId="4" fillId="8" fontId="4" numFmtId="165" xfId="0" applyAlignment="1" applyBorder="1" applyFont="1" applyNumberFormat="1">
      <alignment horizontal="right" vertical="bottom"/>
    </xf>
    <xf borderId="3" fillId="9" fontId="9" numFmtId="0" xfId="0" applyAlignment="1" applyBorder="1" applyFill="1" applyFont="1">
      <alignment horizontal="center" vertical="bottom"/>
    </xf>
    <xf borderId="3" fillId="0" fontId="5" numFmtId="0" xfId="0" applyAlignment="1" applyBorder="1" applyFont="1">
      <alignment vertical="bottom"/>
    </xf>
    <xf borderId="1" fillId="6" fontId="3" numFmtId="0" xfId="0" applyAlignment="1" applyBorder="1" applyFont="1">
      <alignment horizontal="right" vertical="bottom"/>
    </xf>
    <xf borderId="3" fillId="10" fontId="10" numFmtId="0" xfId="0" applyAlignment="1" applyBorder="1" applyFill="1" applyFont="1">
      <alignment horizontal="center" vertical="bottom"/>
    </xf>
    <xf borderId="4" fillId="0" fontId="5" numFmtId="0" xfId="0" applyAlignment="1" applyBorder="1" applyFont="1">
      <alignment vertical="bottom"/>
    </xf>
    <xf borderId="0" fillId="0" fontId="5" numFmtId="0" xfId="0" applyAlignment="1" applyFont="1">
      <alignment readingOrder="0" vertical="top"/>
    </xf>
    <xf borderId="4" fillId="0" fontId="8" numFmtId="0" xfId="0" applyBorder="1" applyFont="1"/>
    <xf borderId="2" fillId="6" fontId="3" numFmtId="0" xfId="0" applyAlignment="1" applyBorder="1" applyFont="1">
      <alignment horizontal="right" vertical="bottom"/>
    </xf>
    <xf borderId="2" fillId="6" fontId="5" numFmtId="165" xfId="0" applyAlignment="1" applyBorder="1" applyFont="1" applyNumberFormat="1">
      <alignment horizontal="right" readingOrder="0" vertical="bottom"/>
    </xf>
    <xf borderId="4" fillId="0" fontId="5" numFmtId="0" xfId="0" applyAlignment="1" applyBorder="1" applyFont="1">
      <alignment readingOrder="0" vertical="bottom"/>
    </xf>
    <xf borderId="2" fillId="11" fontId="10" numFmtId="0" xfId="0" applyAlignment="1" applyBorder="1" applyFill="1" applyFont="1">
      <alignment horizontal="center" vertical="bottom"/>
    </xf>
    <xf borderId="3" fillId="12" fontId="10" numFmtId="165" xfId="0" applyAlignment="1" applyBorder="1" applyFill="1" applyFont="1" applyNumberFormat="1">
      <alignment horizontal="center" readingOrder="0" vertical="bottom"/>
    </xf>
    <xf borderId="2" fillId="13" fontId="3" numFmtId="0" xfId="0" applyAlignment="1" applyBorder="1" applyFill="1" applyFont="1">
      <alignment horizontal="right" vertical="bottom"/>
    </xf>
    <xf borderId="4" fillId="13" fontId="5" numFmtId="165" xfId="0" applyAlignment="1" applyBorder="1" applyFont="1" applyNumberFormat="1">
      <alignment readingOrder="0" vertical="bottom"/>
    </xf>
    <xf borderId="4" fillId="0" fontId="5" numFmtId="165" xfId="0" applyAlignment="1" applyBorder="1" applyFont="1" applyNumberFormat="1">
      <alignment readingOrder="0" vertical="bottom"/>
    </xf>
    <xf borderId="2" fillId="14" fontId="10" numFmtId="0" xfId="0" applyAlignment="1" applyBorder="1" applyFill="1" applyFont="1">
      <alignment horizontal="center" vertical="bottom"/>
    </xf>
    <xf borderId="2" fillId="15" fontId="5" numFmtId="10" xfId="0" applyAlignment="1" applyBorder="1" applyFill="1" applyFont="1" applyNumberFormat="1">
      <alignment horizontal="center" vertical="bottom"/>
    </xf>
    <xf borderId="2" fillId="16" fontId="10" numFmtId="165" xfId="0" applyAlignment="1" applyBorder="1" applyFill="1" applyFont="1" applyNumberFormat="1">
      <alignment horizontal="center" vertical="bottom"/>
    </xf>
    <xf borderId="2" fillId="6" fontId="3" numFmtId="0" xfId="0" applyAlignment="1" applyBorder="1" applyFont="1">
      <alignment horizontal="right" vertical="bottom"/>
    </xf>
    <xf borderId="2" fillId="15" fontId="5" numFmtId="10" xfId="0" applyAlignment="1" applyBorder="1" applyFont="1" applyNumberFormat="1">
      <alignment horizontal="center" readingOrder="0" vertical="bottom"/>
    </xf>
    <xf borderId="2" fillId="13" fontId="5" numFmtId="165" xfId="0" applyAlignment="1" applyBorder="1" applyFont="1" applyNumberFormat="1">
      <alignment horizontal="right" readingOrder="0" vertical="bottom"/>
    </xf>
    <xf borderId="0" fillId="17" fontId="11" numFmtId="0" xfId="0" applyAlignment="1" applyFill="1" applyFont="1">
      <alignment horizontal="center" vertical="bottom"/>
    </xf>
    <xf borderId="2" fillId="17" fontId="3" numFmtId="165" xfId="0" applyAlignment="1" applyBorder="1" applyFont="1" applyNumberFormat="1">
      <alignment horizontal="center" vertical="bottom"/>
    </xf>
    <xf borderId="2" fillId="7" fontId="3" numFmtId="0" xfId="0" applyAlignment="1" applyBorder="1" applyFont="1">
      <alignment vertical="bottom"/>
    </xf>
    <xf borderId="2" fillId="8" fontId="3" numFmtId="165" xfId="0" applyAlignment="1" applyBorder="1" applyFont="1" applyNumberFormat="1">
      <alignment horizontal="right" vertical="bottom"/>
    </xf>
    <xf borderId="0" fillId="0" fontId="5" numFmtId="165" xfId="0" applyAlignment="1" applyFont="1" applyNumberFormat="1">
      <alignment readingOrder="0" vertical="bottom"/>
    </xf>
    <xf borderId="4" fillId="6" fontId="5" numFmtId="165" xfId="0" applyAlignment="1" applyBorder="1" applyFont="1" applyNumberFormat="1">
      <alignment readingOrder="0" vertical="bottom"/>
    </xf>
    <xf borderId="1" fillId="13" fontId="3" numFmtId="0" xfId="0" applyAlignment="1" applyBorder="1" applyFont="1">
      <alignment horizontal="right" vertical="bottom"/>
    </xf>
    <xf borderId="2" fillId="13" fontId="5" numFmtId="165" xfId="0" applyAlignment="1" applyBorder="1" applyFont="1" applyNumberFormat="1">
      <alignment readingOrder="0" vertical="bottom"/>
    </xf>
    <xf borderId="2" fillId="6" fontId="5" numFmtId="165" xfId="0" applyAlignment="1" applyBorder="1" applyFont="1" applyNumberFormat="1">
      <alignment horizontal="right" readingOrder="0" vertical="bottom"/>
    </xf>
    <xf borderId="3" fillId="5" fontId="4" numFmtId="0" xfId="0" applyAlignment="1" applyBorder="1" applyFont="1">
      <alignment horizontal="center" readingOrder="0" vertical="bottom"/>
    </xf>
    <xf borderId="1" fillId="6" fontId="5" numFmtId="165" xfId="0" applyAlignment="1" applyBorder="1" applyFont="1" applyNumberFormat="1">
      <alignment horizontal="right" vertical="bottom"/>
    </xf>
    <xf borderId="1" fillId="6" fontId="3" numFmtId="0" xfId="0" applyAlignment="1" applyBorder="1" applyFont="1">
      <alignment horizontal="right" readingOrder="0" vertical="bottom"/>
    </xf>
    <xf borderId="2" fillId="14" fontId="10" numFmtId="0" xfId="0" applyAlignment="1" applyBorder="1" applyFont="1">
      <alignment horizontal="center" readingOrder="0" vertical="bottom"/>
    </xf>
    <xf borderId="4" fillId="0" fontId="5" numFmtId="4" xfId="0" applyAlignment="1" applyBorder="1" applyFont="1" applyNumberFormat="1">
      <alignment readingOrder="0" vertical="bottom"/>
    </xf>
    <xf borderId="1" fillId="7" fontId="3" numFmtId="0" xfId="0" applyAlignment="1" applyBorder="1" applyFont="1">
      <alignment horizontal="right" readingOrder="0" vertical="bottom"/>
    </xf>
    <xf borderId="3" fillId="9" fontId="9" numFmtId="0" xfId="0" applyAlignment="1" applyBorder="1" applyFont="1">
      <alignment horizontal="center" readingOrder="0" vertical="bottom"/>
    </xf>
    <xf borderId="4" fillId="0" fontId="5" numFmtId="164" xfId="0" applyAlignment="1" applyBorder="1" applyFont="1" applyNumberFormat="1">
      <alignment readingOrder="0" vertical="bottom"/>
    </xf>
    <xf borderId="0" fillId="0" fontId="5" numFmtId="0" xfId="0" applyAlignment="1" applyFont="1">
      <alignment readingOrder="0" shrinkToFit="0" vertical="top" wrapText="1"/>
    </xf>
    <xf borderId="0" fillId="0" fontId="2" numFmtId="164" xfId="0" applyAlignment="1" applyFont="1" applyNumberFormat="1">
      <alignment readingOrder="0"/>
    </xf>
    <xf borderId="0" fillId="0" fontId="2" numFmtId="165" xfId="0" applyAlignment="1" applyFont="1" applyNumberFormat="1">
      <alignment readingOrder="0"/>
    </xf>
    <xf borderId="0" fillId="0" fontId="2" numFmtId="0" xfId="0" applyAlignment="1" applyFont="1">
      <alignment horizontal="right" readingOrder="0"/>
    </xf>
    <xf borderId="2" fillId="18" fontId="3" numFmtId="0" xfId="0" applyAlignment="1" applyBorder="1" applyFill="1" applyFont="1">
      <alignment horizontal="right" readingOrder="0" vertical="bottom"/>
    </xf>
    <xf borderId="2" fillId="18" fontId="5" numFmtId="165" xfId="0" applyAlignment="1" applyBorder="1" applyFont="1" applyNumberFormat="1">
      <alignment readingOrder="0" vertical="bottom"/>
    </xf>
    <xf borderId="3" fillId="6" fontId="4" numFmtId="0" xfId="0" applyAlignment="1" applyBorder="1" applyFont="1">
      <alignment horizontal="center" readingOrder="0" vertical="bottom"/>
    </xf>
    <xf borderId="0" fillId="0" fontId="2" numFmtId="0" xfId="0" applyAlignment="1" applyFont="1">
      <alignment readingOrder="0"/>
    </xf>
    <xf borderId="1" fillId="19" fontId="3" numFmtId="0" xfId="0" applyAlignment="1" applyBorder="1" applyFill="1" applyFont="1">
      <alignment horizontal="right" readingOrder="0" vertical="bottom"/>
    </xf>
    <xf borderId="2" fillId="19" fontId="5" numFmtId="165" xfId="0" applyAlignment="1" applyBorder="1" applyFont="1" applyNumberFormat="1">
      <alignment readingOrder="0" vertical="bottom"/>
    </xf>
    <xf borderId="2" fillId="13" fontId="3" numFmtId="0" xfId="0" applyAlignment="1" applyBorder="1" applyFont="1">
      <alignment horizontal="right" readingOrder="0" vertical="bottom"/>
    </xf>
    <xf borderId="4" fillId="13" fontId="5" numFmtId="0" xfId="0" applyAlignment="1" applyBorder="1" applyFont="1">
      <alignment readingOrder="0" vertical="bottom"/>
    </xf>
    <xf borderId="0" fillId="0" fontId="12" numFmtId="0" xfId="0" applyAlignment="1" applyFont="1">
      <alignment readingOrder="0"/>
    </xf>
    <xf borderId="0" fillId="0" fontId="12" numFmtId="165" xfId="0" applyFont="1" applyNumberFormat="1"/>
    <xf borderId="5" fillId="0" fontId="2" numFmtId="0" xfId="0" applyAlignment="1" applyBorder="1" applyFont="1">
      <alignment horizontal="center" readingOrder="0"/>
    </xf>
    <xf borderId="6" fillId="0" fontId="8" numFmtId="0" xfId="0" applyBorder="1" applyFont="1"/>
    <xf borderId="7" fillId="0" fontId="8" numFmtId="0" xfId="0" applyBorder="1" applyFont="1"/>
    <xf borderId="0" fillId="0" fontId="2" numFmtId="166" xfId="0" applyAlignment="1" applyFont="1" applyNumberFormat="1">
      <alignment readingOrder="0"/>
    </xf>
    <xf borderId="0" fillId="0" fontId="2" numFmtId="167" xfId="0" applyAlignment="1" applyFont="1" applyNumberFormat="1">
      <alignment readingOrder="0"/>
    </xf>
    <xf borderId="0" fillId="0" fontId="13" numFmtId="0" xfId="0" applyAlignment="1" applyFont="1">
      <alignment readingOrder="0"/>
    </xf>
    <xf borderId="0" fillId="0" fontId="14" numFmtId="165" xfId="0" applyFont="1" applyNumberFormat="1"/>
    <xf borderId="0" fillId="0" fontId="2" numFmtId="168" xfId="0" applyAlignment="1" applyFont="1" applyNumberFormat="1">
      <alignment readingOrder="0"/>
    </xf>
    <xf borderId="0" fillId="0" fontId="12" numFmtId="0" xfId="0" applyFont="1"/>
    <xf borderId="0" fillId="0" fontId="15" numFmtId="0" xfId="0" applyAlignment="1" applyFont="1">
      <alignment readingOrder="0" vertical="bottom"/>
    </xf>
    <xf borderId="4" fillId="20" fontId="15" numFmtId="164" xfId="0" applyAlignment="1" applyBorder="1" applyFill="1" applyFont="1" applyNumberFormat="1">
      <alignment readingOrder="0" vertical="bottom"/>
    </xf>
    <xf borderId="0" fillId="0" fontId="12" numFmtId="165" xfId="0" applyAlignment="1" applyFont="1" applyNumberFormat="1">
      <alignment horizontal="center" readingOrder="0"/>
    </xf>
    <xf borderId="0" fillId="0" fontId="12" numFmtId="0" xfId="0" applyAlignment="1" applyFont="1">
      <alignment horizontal="center" readingOrder="0"/>
    </xf>
    <xf borderId="4" fillId="21" fontId="15" numFmtId="164" xfId="0" applyAlignment="1" applyBorder="1" applyFill="1" applyFont="1" applyNumberFormat="1">
      <alignment readingOrder="0" vertical="bottom"/>
    </xf>
    <xf borderId="2" fillId="15" fontId="5" numFmtId="9" xfId="0" applyAlignment="1" applyBorder="1" applyFont="1" applyNumberFormat="1">
      <alignment horizontal="center" readingOrder="0" vertical="bottom"/>
    </xf>
    <xf borderId="2" fillId="11" fontId="3" numFmtId="0" xfId="0" applyAlignment="1" applyBorder="1" applyFont="1">
      <alignment horizontal="right" readingOrder="0" vertical="bottom"/>
    </xf>
    <xf borderId="2" fillId="11" fontId="5" numFmtId="165" xfId="0" applyAlignment="1" applyBorder="1" applyFont="1" applyNumberFormat="1">
      <alignment readingOrder="0" vertical="bottom"/>
    </xf>
    <xf borderId="0" fillId="0" fontId="2" numFmtId="0" xfId="0" applyFont="1"/>
    <xf borderId="2" fillId="22" fontId="3" numFmtId="0" xfId="0" applyAlignment="1" applyBorder="1" applyFill="1" applyFont="1">
      <alignment horizontal="right" readingOrder="0" vertical="bottom"/>
    </xf>
    <xf borderId="2" fillId="22" fontId="5" numFmtId="165" xfId="0" applyAlignment="1" applyBorder="1" applyFont="1" applyNumberFormat="1">
      <alignment readingOrder="0" vertical="bottom"/>
    </xf>
    <xf borderId="2" fillId="23" fontId="16" numFmtId="0" xfId="0" applyAlignment="1" applyBorder="1" applyFill="1" applyFont="1">
      <alignment horizontal="right" readingOrder="0" vertical="bottom"/>
    </xf>
    <xf borderId="2" fillId="23" fontId="5" numFmtId="165" xfId="0" applyAlignment="1" applyBorder="1" applyFont="1" applyNumberFormat="1">
      <alignment readingOrder="0" vertical="bottom"/>
    </xf>
    <xf borderId="2" fillId="6" fontId="5" numFmtId="0" xfId="0" applyAlignment="1" applyBorder="1" applyFont="1">
      <alignment vertical="bottom"/>
    </xf>
    <xf borderId="2" fillId="16" fontId="3" numFmtId="0" xfId="0" applyAlignment="1" applyBorder="1" applyFont="1">
      <alignment horizontal="right" readingOrder="0" vertical="bottom"/>
    </xf>
    <xf borderId="2" fillId="16" fontId="5" numFmtId="165" xfId="0" applyAlignment="1" applyBorder="1" applyFont="1" applyNumberFormat="1">
      <alignment readingOrder="0" vertical="bottom"/>
    </xf>
    <xf borderId="0" fillId="0" fontId="14" numFmtId="0" xfId="0" applyAlignment="1" applyFont="1">
      <alignment readingOrder="0"/>
    </xf>
    <xf borderId="0" fillId="0" fontId="14" numFmtId="0" xfId="0" applyFont="1"/>
    <xf borderId="2" fillId="24" fontId="3" numFmtId="0" xfId="0" applyAlignment="1" applyBorder="1" applyFill="1" applyFont="1">
      <alignment horizontal="right" readingOrder="0" vertical="bottom"/>
    </xf>
    <xf borderId="2" fillId="24" fontId="5" numFmtId="165" xfId="0" applyAlignment="1" applyBorder="1" applyFont="1" applyNumberFormat="1">
      <alignment readingOrder="0" vertical="bottom"/>
    </xf>
    <xf borderId="2" fillId="25" fontId="3" numFmtId="0" xfId="0" applyAlignment="1" applyBorder="1" applyFill="1" applyFont="1">
      <alignment horizontal="right" readingOrder="0" vertical="bottom"/>
    </xf>
    <xf borderId="2" fillId="25" fontId="5" numFmtId="165" xfId="0" applyAlignment="1" applyBorder="1" applyFont="1" applyNumberFormat="1">
      <alignment readingOrder="0" vertical="bottom"/>
    </xf>
    <xf borderId="1" fillId="2" fontId="4" numFmtId="0" xfId="0" applyAlignment="1" applyBorder="1" applyFont="1">
      <alignment horizontal="right" vertical="bottom"/>
    </xf>
    <xf borderId="2" fillId="13" fontId="3" numFmtId="0" xfId="0" applyAlignment="1" applyBorder="1" applyFont="1">
      <alignment horizontal="right" vertical="bottom"/>
    </xf>
    <xf borderId="2" fillId="19" fontId="3" numFmtId="0" xfId="0" applyAlignment="1" applyBorder="1" applyFont="1">
      <alignment horizontal="right" readingOrder="0" vertical="bottom"/>
    </xf>
    <xf borderId="2" fillId="7" fontId="4" numFmtId="0" xfId="0" applyAlignment="1" applyBorder="1" applyFont="1">
      <alignment horizontal="right" readingOrder="0" vertical="bottom"/>
    </xf>
    <xf borderId="2" fillId="8" fontId="10" numFmtId="165" xfId="0" applyAlignment="1" applyBorder="1" applyFont="1" applyNumberFormat="1">
      <alignment readingOrder="0" vertical="bottom"/>
    </xf>
    <xf borderId="0" fillId="0" fontId="17" numFmtId="0" xfId="0" applyAlignment="1" applyFont="1">
      <alignment readingOrder="0"/>
    </xf>
    <xf borderId="0" fillId="0" fontId="17" numFmtId="165" xfId="0" applyFont="1" applyNumberFormat="1"/>
    <xf borderId="0" fillId="13" fontId="5" numFmtId="0" xfId="0" applyAlignment="1" applyFont="1">
      <alignment readingOrder="0" vertical="top"/>
    </xf>
    <xf borderId="2" fillId="7" fontId="5" numFmtId="0" xfId="0" applyAlignment="1" applyBorder="1" applyFont="1">
      <alignment readingOrder="0" vertical="bottom"/>
    </xf>
    <xf borderId="2" fillId="26" fontId="3" numFmtId="0" xfId="0" applyAlignment="1" applyBorder="1" applyFill="1" applyFont="1">
      <alignment horizontal="right" readingOrder="0" vertical="bottom"/>
    </xf>
    <xf borderId="2" fillId="26" fontId="5" numFmtId="165" xfId="0" applyAlignment="1" applyBorder="1" applyFont="1" applyNumberFormat="1">
      <alignment readingOrder="0" vertical="bottom"/>
    </xf>
    <xf borderId="4" fillId="0" fontId="15" numFmtId="164" xfId="0" applyAlignment="1" applyBorder="1" applyFont="1" applyNumberFormat="1">
      <alignment readingOrder="0" vertical="bottom"/>
    </xf>
    <xf borderId="8" fillId="27" fontId="18" numFmtId="0" xfId="0" applyAlignment="1" applyBorder="1" applyFill="1" applyFont="1">
      <alignment horizontal="center" readingOrder="0" vertical="bottom"/>
    </xf>
    <xf borderId="9" fillId="0" fontId="8" numFmtId="0" xfId="0" applyBorder="1" applyFont="1"/>
    <xf borderId="10" fillId="0" fontId="8" numFmtId="0" xfId="0" applyBorder="1" applyFont="1"/>
    <xf borderId="0" fillId="28" fontId="18" numFmtId="0" xfId="0" applyAlignment="1" applyFill="1" applyFont="1">
      <alignment horizontal="center" readingOrder="0" vertical="bottom"/>
    </xf>
    <xf borderId="0" fillId="28" fontId="4" numFmtId="165" xfId="0" applyAlignment="1" applyFont="1" applyNumberFormat="1">
      <alignment horizontal="right" vertical="bottom"/>
    </xf>
    <xf borderId="0" fillId="28" fontId="3" numFmtId="0" xfId="0" applyAlignment="1" applyFont="1">
      <alignment horizontal="right" vertical="bottom"/>
    </xf>
    <xf borderId="0" fillId="28" fontId="4" numFmtId="0" xfId="0" applyAlignment="1" applyFont="1">
      <alignment horizontal="right" vertical="bottom"/>
    </xf>
    <xf borderId="0" fillId="28" fontId="5" numFmtId="0" xfId="0" applyAlignment="1" applyFont="1">
      <alignment vertical="bottom"/>
    </xf>
    <xf borderId="11" fillId="0" fontId="19" numFmtId="0" xfId="0" applyAlignment="1" applyBorder="1" applyFont="1">
      <alignment horizontal="left" readingOrder="0"/>
    </xf>
    <xf borderId="12" fillId="28" fontId="19" numFmtId="165" xfId="0" applyAlignment="1" applyBorder="1" applyFont="1" applyNumberFormat="1">
      <alignment horizontal="left" readingOrder="0" vertical="bottom"/>
    </xf>
    <xf borderId="12" fillId="28" fontId="19" numFmtId="0" xfId="0" applyAlignment="1" applyBorder="1" applyFont="1">
      <alignment horizontal="left" readingOrder="0" vertical="bottom"/>
    </xf>
    <xf borderId="13" fillId="28" fontId="19" numFmtId="0" xfId="0" applyAlignment="1" applyBorder="1" applyFont="1">
      <alignment horizontal="left" readingOrder="0" vertical="bottom"/>
    </xf>
    <xf borderId="0" fillId="28" fontId="7" numFmtId="165" xfId="0" applyAlignment="1" applyFont="1" applyNumberFormat="1">
      <alignment horizontal="right" vertical="bottom"/>
    </xf>
    <xf borderId="0" fillId="28" fontId="16" numFmtId="0" xfId="0" applyAlignment="1" applyFont="1">
      <alignment horizontal="right" readingOrder="0" vertical="bottom"/>
    </xf>
    <xf borderId="0" fillId="28" fontId="16" numFmtId="165" xfId="0" applyAlignment="1" applyFont="1" applyNumberFormat="1">
      <alignment horizontal="right" readingOrder="0" vertical="bottom"/>
    </xf>
    <xf borderId="14" fillId="28" fontId="16" numFmtId="0" xfId="0" applyAlignment="1" applyBorder="1" applyFont="1">
      <alignment horizontal="left" readingOrder="0" vertical="bottom"/>
    </xf>
    <xf borderId="15" fillId="28" fontId="16" numFmtId="165" xfId="0" applyAlignment="1" applyBorder="1" applyFont="1" applyNumberFormat="1">
      <alignment horizontal="center" readingOrder="0" vertical="bottom"/>
    </xf>
    <xf borderId="15" fillId="28" fontId="16" numFmtId="0" xfId="0" applyAlignment="1" applyBorder="1" applyFont="1">
      <alignment horizontal="center" readingOrder="0" vertical="bottom"/>
    </xf>
    <xf borderId="16" fillId="28" fontId="16" numFmtId="0" xfId="0" applyAlignment="1" applyBorder="1" applyFont="1">
      <alignment horizontal="center" readingOrder="0" vertical="bottom"/>
    </xf>
    <xf borderId="0" fillId="28" fontId="19" numFmtId="0" xfId="0" applyAlignment="1" applyFont="1">
      <alignment horizontal="center" readingOrder="0" vertical="bottom"/>
    </xf>
    <xf borderId="0" fillId="28" fontId="16" numFmtId="165" xfId="0" applyAlignment="1" applyFont="1" applyNumberFormat="1">
      <alignment readingOrder="0" vertical="bottom"/>
    </xf>
    <xf borderId="0" fillId="28" fontId="16" numFmtId="165" xfId="0" applyAlignment="1" applyFont="1" applyNumberFormat="1">
      <alignment vertical="bottom"/>
    </xf>
    <xf borderId="0" fillId="28" fontId="2" numFmtId="0" xfId="0" applyFont="1"/>
    <xf borderId="15" fillId="28" fontId="16" numFmtId="165" xfId="0" applyAlignment="1" applyBorder="1" applyFont="1" applyNumberFormat="1">
      <alignment readingOrder="0" vertical="bottom"/>
    </xf>
    <xf borderId="0" fillId="28" fontId="5" numFmtId="165" xfId="0" applyAlignment="1" applyFont="1" applyNumberFormat="1">
      <alignment vertical="bottom"/>
    </xf>
    <xf borderId="0" fillId="28" fontId="16" numFmtId="0" xfId="0" applyAlignment="1" applyFont="1">
      <alignment horizontal="right" vertical="bottom"/>
    </xf>
    <xf borderId="0" fillId="28" fontId="5" numFmtId="165" xfId="0" applyAlignment="1" applyFont="1" applyNumberFormat="1">
      <alignment readingOrder="0" vertical="bottom"/>
    </xf>
    <xf borderId="0" fillId="0" fontId="20" numFmtId="165" xfId="0" applyAlignment="1" applyFont="1" applyNumberFormat="1">
      <alignment horizontal="left" readingOrder="0"/>
    </xf>
    <xf borderId="0" fillId="28" fontId="20" numFmtId="0" xfId="0" applyAlignment="1" applyFont="1">
      <alignment horizontal="left" readingOrder="0" vertical="bottom"/>
    </xf>
    <xf borderId="14" fillId="28" fontId="16" numFmtId="0" xfId="0" applyAlignment="1" applyBorder="1" applyFont="1">
      <alignment horizontal="left" readingOrder="0" vertical="bottom"/>
    </xf>
    <xf borderId="0" fillId="28" fontId="20" numFmtId="165" xfId="0" applyAlignment="1" applyFont="1" applyNumberFormat="1">
      <alignment horizontal="left" readingOrder="0" vertical="bottom"/>
    </xf>
    <xf borderId="0" fillId="28" fontId="20" numFmtId="0" xfId="0" applyAlignment="1" applyFont="1">
      <alignment horizontal="left" readingOrder="0" vertical="top"/>
    </xf>
    <xf borderId="15" fillId="28" fontId="16" numFmtId="165" xfId="0" applyAlignment="1" applyBorder="1" applyFont="1" applyNumberFormat="1">
      <alignment vertical="bottom"/>
    </xf>
    <xf borderId="1" fillId="28" fontId="16" numFmtId="165" xfId="0" applyAlignment="1" applyBorder="1" applyFont="1" applyNumberFormat="1">
      <alignment horizontal="center" readingOrder="0" vertical="bottom"/>
    </xf>
    <xf borderId="15" fillId="28" fontId="16" numFmtId="0" xfId="0" applyAlignment="1" applyBorder="1" applyFont="1">
      <alignment vertical="bottom"/>
    </xf>
    <xf borderId="0" fillId="28" fontId="16" numFmtId="0" xfId="0" applyAlignment="1" applyFont="1">
      <alignment readingOrder="0" vertical="bottom"/>
    </xf>
    <xf borderId="0" fillId="28" fontId="21" numFmtId="165" xfId="0" applyAlignment="1" applyFont="1" applyNumberFormat="1">
      <alignment horizontal="left" vertical="bottom"/>
    </xf>
    <xf borderId="15" fillId="28" fontId="19" numFmtId="0" xfId="0" applyAlignment="1" applyBorder="1" applyFont="1">
      <alignment horizontal="center" vertical="bottom"/>
    </xf>
    <xf borderId="0" fillId="28" fontId="5" numFmtId="0" xfId="0" applyAlignment="1" applyFont="1">
      <alignment readingOrder="0" vertical="top"/>
    </xf>
    <xf borderId="16" fillId="28" fontId="19" numFmtId="165" xfId="0" applyAlignment="1" applyBorder="1" applyFont="1" applyNumberFormat="1">
      <alignment horizontal="center" readingOrder="0" vertical="bottom"/>
    </xf>
    <xf borderId="16" fillId="28" fontId="16" numFmtId="10" xfId="0" applyAlignment="1" applyBorder="1" applyFont="1" applyNumberFormat="1">
      <alignment horizontal="center" vertical="bottom"/>
    </xf>
    <xf borderId="16" fillId="28" fontId="16" numFmtId="10" xfId="0" applyAlignment="1" applyBorder="1" applyFont="1" applyNumberFormat="1">
      <alignment horizontal="center" readingOrder="0" vertical="bottom"/>
    </xf>
    <xf borderId="0" fillId="28" fontId="19" numFmtId="165" xfId="0" applyAlignment="1" applyFont="1" applyNumberFormat="1">
      <alignment horizontal="center" readingOrder="0" vertical="bottom"/>
    </xf>
    <xf borderId="17" fillId="28" fontId="16" numFmtId="0" xfId="0" applyAlignment="1" applyBorder="1" applyFont="1">
      <alignment horizontal="left" readingOrder="0" vertical="bottom"/>
    </xf>
    <xf borderId="18" fillId="28" fontId="16" numFmtId="165" xfId="0" applyAlignment="1" applyBorder="1" applyFont="1" applyNumberFormat="1">
      <alignment horizontal="center" readingOrder="0" vertical="bottom"/>
    </xf>
    <xf borderId="18" fillId="28" fontId="16" numFmtId="0" xfId="0" applyAlignment="1" applyBorder="1" applyFont="1">
      <alignment horizontal="center" readingOrder="0" vertical="bottom"/>
    </xf>
    <xf borderId="19" fillId="28" fontId="16" numFmtId="0" xfId="0" applyAlignment="1" applyBorder="1" applyFont="1">
      <alignment horizontal="center" readingOrder="0" vertical="bottom"/>
    </xf>
    <xf borderId="20" fillId="28" fontId="19" numFmtId="0" xfId="0" applyAlignment="1" applyBorder="1" applyFont="1">
      <alignment horizontal="right" readingOrder="0" vertical="bottom"/>
    </xf>
    <xf borderId="21" fillId="28" fontId="22" numFmtId="165" xfId="0" applyAlignment="1" applyBorder="1" applyFont="1" applyNumberFormat="1">
      <alignment horizontal="center" readingOrder="0" vertical="bottom"/>
    </xf>
    <xf borderId="21" fillId="28" fontId="19" numFmtId="0" xfId="0" applyAlignment="1" applyBorder="1" applyFont="1">
      <alignment horizontal="center" vertical="bottom"/>
    </xf>
    <xf borderId="22" fillId="28" fontId="16" numFmtId="165" xfId="0" applyAlignment="1" applyBorder="1" applyFont="1" applyNumberFormat="1">
      <alignment horizontal="center" readingOrder="0" vertical="bottom"/>
    </xf>
    <xf borderId="0" fillId="28" fontId="19" numFmtId="0" xfId="0" applyAlignment="1" applyFont="1">
      <alignment horizontal="center" vertical="bottom"/>
    </xf>
    <xf borderId="0" fillId="28" fontId="16" numFmtId="0" xfId="0" applyAlignment="1" applyFont="1">
      <alignment horizontal="center" readingOrder="0" vertical="bottom"/>
    </xf>
    <xf borderId="0" fillId="28" fontId="23" numFmtId="0" xfId="0" applyAlignment="1" applyFont="1">
      <alignment horizontal="center" readingOrder="0" vertical="bottom"/>
    </xf>
    <xf borderId="0" fillId="28" fontId="16" numFmtId="165" xfId="0" applyAlignment="1" applyFont="1" applyNumberFormat="1">
      <alignment horizontal="center" readingOrder="0" vertical="bottom"/>
    </xf>
    <xf borderId="0" fillId="28" fontId="16" numFmtId="0" xfId="0" applyAlignment="1" applyFont="1">
      <alignment vertical="bottom"/>
    </xf>
    <xf borderId="0" fillId="28" fontId="16" numFmtId="165" xfId="0" applyAlignment="1" applyFont="1" applyNumberFormat="1">
      <alignment horizontal="right" vertical="bottom"/>
    </xf>
    <xf borderId="0" fillId="28" fontId="19" numFmtId="165" xfId="0" applyAlignment="1" applyFont="1" applyNumberFormat="1">
      <alignment horizontal="right" vertical="bottom"/>
    </xf>
    <xf borderId="0" fillId="28" fontId="24" numFmtId="0" xfId="0" applyFont="1"/>
    <xf borderId="0" fillId="28" fontId="24" numFmtId="0" xfId="0" applyAlignment="1" applyFont="1">
      <alignment readingOrder="0"/>
    </xf>
    <xf borderId="0" fillId="28" fontId="23" numFmtId="4" xfId="0" applyAlignment="1" applyFont="1" applyNumberFormat="1">
      <alignment horizontal="center" readingOrder="0" vertical="bottom"/>
    </xf>
    <xf borderId="0" fillId="28" fontId="24" numFmtId="0" xfId="0" applyAlignment="1" applyFont="1">
      <alignment horizontal="center" readingOrder="0"/>
    </xf>
    <xf borderId="0" fillId="0" fontId="24" numFmtId="0" xfId="0" applyFont="1"/>
    <xf borderId="0" fillId="28" fontId="2" numFmtId="2" xfId="0" applyFont="1" applyNumberFormat="1"/>
    <xf borderId="23" fillId="29" fontId="25" numFmtId="0" xfId="0" applyAlignment="1" applyBorder="1" applyFill="1" applyFont="1">
      <alignment horizontal="center" readingOrder="0" shrinkToFit="0" vertical="top" wrapText="0"/>
    </xf>
    <xf borderId="1" fillId="0" fontId="8" numFmtId="0" xfId="0" applyBorder="1" applyFont="1"/>
    <xf borderId="23" fillId="29" fontId="26" numFmtId="0" xfId="0" applyAlignment="1" applyBorder="1" applyFont="1">
      <alignment horizontal="center" readingOrder="0" shrinkToFit="0" wrapText="0"/>
    </xf>
    <xf borderId="23" fillId="30" fontId="27" numFmtId="0" xfId="0" applyAlignment="1" applyBorder="1" applyFill="1" applyFont="1">
      <alignment horizontal="center" readingOrder="0" shrinkToFit="0" vertical="bottom" wrapText="0"/>
    </xf>
    <xf borderId="15" fillId="0" fontId="28" numFmtId="0" xfId="0" applyAlignment="1" applyBorder="1" applyFont="1">
      <alignment readingOrder="0" shrinkToFit="0" vertical="bottom" wrapText="0"/>
    </xf>
    <xf borderId="15" fillId="0" fontId="29" numFmtId="165" xfId="0" applyAlignment="1" applyBorder="1" applyFont="1" applyNumberFormat="1">
      <alignment horizontal="right" readingOrder="0" shrinkToFit="0" vertical="bottom" wrapText="0"/>
    </xf>
    <xf borderId="15" fillId="0" fontId="28" numFmtId="165" xfId="0" applyAlignment="1" applyBorder="1" applyFont="1" applyNumberFormat="1">
      <alignment horizontal="center" shrinkToFit="0" vertical="bottom" wrapText="0"/>
    </xf>
    <xf borderId="15" fillId="29" fontId="27" numFmtId="0" xfId="0" applyAlignment="1" applyBorder="1" applyFont="1">
      <alignment readingOrder="0" shrinkToFit="0" vertical="bottom" wrapText="0"/>
    </xf>
    <xf borderId="15" fillId="29" fontId="27" numFmtId="165" xfId="0" applyAlignment="1" applyBorder="1" applyFont="1" applyNumberFormat="1">
      <alignment horizontal="center" readingOrder="0" shrinkToFit="0" vertical="bottom" wrapText="0"/>
    </xf>
    <xf borderId="15" fillId="0" fontId="28" numFmtId="165" xfId="0" applyAlignment="1" applyBorder="1" applyFont="1" applyNumberFormat="1">
      <alignment horizontal="center" readingOrder="0" shrinkToFit="0" vertical="bottom" wrapText="0"/>
    </xf>
    <xf borderId="0" fillId="28" fontId="21" numFmtId="0" xfId="0" applyAlignment="1" applyFont="1">
      <alignment horizontal="left" readingOrder="0" vertical="bottom"/>
    </xf>
    <xf borderId="0" fillId="28" fontId="5" numFmtId="0" xfId="0" applyAlignment="1" applyFont="1">
      <alignment readingOrder="0" vertical="bottom"/>
    </xf>
    <xf borderId="23" fillId="0" fontId="14" numFmtId="0" xfId="0" applyAlignment="1" applyBorder="1" applyFont="1">
      <alignment readingOrder="0"/>
    </xf>
    <xf borderId="23" fillId="28" fontId="10" numFmtId="0" xfId="0" applyAlignment="1" applyBorder="1" applyFont="1">
      <alignment readingOrder="0" vertical="top"/>
    </xf>
    <xf borderId="15" fillId="0" fontId="2" numFmtId="0" xfId="0" applyAlignment="1" applyBorder="1" applyFont="1">
      <alignment readingOrder="0"/>
    </xf>
    <xf borderId="15" fillId="28" fontId="5" numFmtId="0" xfId="0" applyAlignment="1" applyBorder="1" applyFont="1">
      <alignment readingOrder="0" vertical="top"/>
    </xf>
    <xf borderId="15" fillId="0" fontId="28" numFmtId="0" xfId="0" applyAlignment="1" applyBorder="1" applyFont="1">
      <alignment horizontal="center" shrinkToFit="0" vertical="bottom" wrapText="0"/>
    </xf>
    <xf borderId="15" fillId="28" fontId="2" numFmtId="0" xfId="0" applyAlignment="1" applyBorder="1" applyFont="1">
      <alignment readingOrder="0"/>
    </xf>
    <xf borderId="24" fillId="29" fontId="27" numFmtId="0" xfId="0" applyAlignment="1" applyBorder="1" applyFont="1">
      <alignment readingOrder="0" shrinkToFit="0" vertical="bottom" wrapText="0"/>
    </xf>
    <xf borderId="2" fillId="29" fontId="27" numFmtId="165" xfId="0" applyAlignment="1" applyBorder="1" applyFont="1" applyNumberFormat="1">
      <alignment horizontal="center" readingOrder="0" shrinkToFit="0" vertical="bottom" wrapText="0"/>
    </xf>
    <xf borderId="0" fillId="0" fontId="28" numFmtId="0" xfId="0" applyAlignment="1" applyFont="1">
      <alignment shrinkToFit="0" vertical="bottom" wrapText="0"/>
    </xf>
    <xf borderId="0" fillId="0" fontId="28" numFmtId="0" xfId="0" applyAlignment="1" applyFont="1">
      <alignment horizontal="center" shrinkToFit="0" vertical="bottom" wrapText="0"/>
    </xf>
    <xf borderId="15" fillId="31" fontId="27" numFmtId="0" xfId="0" applyAlignment="1" applyBorder="1" applyFill="1" applyFont="1">
      <alignment readingOrder="0" shrinkToFit="0" vertical="bottom" wrapText="0"/>
    </xf>
    <xf borderId="1" fillId="31" fontId="27" numFmtId="9" xfId="0" applyAlignment="1" applyBorder="1" applyFont="1" applyNumberFormat="1">
      <alignment horizontal="center"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44" Type="http://schemas.openxmlformats.org/officeDocument/2006/relationships/worksheet" Target="worksheets/sheet40.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'Raio-X CC Jun'!$I$57:$I$71</c:f>
            </c:strRef>
          </c:cat>
          <c:val>
            <c:numRef>
              <c:f>'Raio-X CC Jun'!$H$57:$H$71</c:f>
              <c:numCache/>
            </c:numRef>
          </c:val>
        </c:ser>
        <c:axId val="1410402155"/>
        <c:axId val="1798969655"/>
      </c:barChart>
      <c:catAx>
        <c:axId val="14104021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98969655"/>
      </c:catAx>
      <c:valAx>
        <c:axId val="17989696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040215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spPr>
            <a:solidFill>
              <a:schemeClr val="accent1"/>
            </a:solidFill>
            <a:ln cmpd="sng">
              <a:solidFill>
                <a:srgbClr val="000000"/>
              </a:solidFill>
              <a:prstDash val="sysDot"/>
            </a:ln>
          </c:spPr>
          <c:val>
            <c:numRef>
              <c:f>('Janeiro  2025'!$B$29,'Fevereiro  2025'!$B$30,'Março  2025'!$B$30,'Abril  2025'!$B$30,'Maio  2025'!$B$31,'Junho  2025'!$B$31,'Julho  2025'!$B$31,'Agosto  2025'!$B$31,'Setembro  2025'!$B$31,'Outubro  2025'!$B$31,'Novembro  2025'!$B$31,'Dezembro  2025'!$B$31)</c:f>
              <c:numCache/>
            </c:numRef>
          </c:val>
        </c:ser>
        <c:overlap val="100"/>
        <c:axId val="2117516221"/>
        <c:axId val="584133835"/>
      </c:barChart>
      <c:catAx>
        <c:axId val="21175162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Arial"/>
              </a:defRPr>
            </a:pPr>
          </a:p>
        </c:txPr>
        <c:crossAx val="584133835"/>
      </c:catAx>
      <c:valAx>
        <c:axId val="5841338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2117516221"/>
      </c:valAx>
    </c:plotArea>
    <c:legend>
      <c:legendPos val="b"/>
      <c:overlay val="0"/>
      <c:txPr>
        <a:bodyPr/>
        <a:lstStyle/>
        <a:p>
          <a:pPr lvl="0">
            <a:defRPr b="0">
              <a:solidFill>
                <a:srgbClr val="1A1A1A"/>
              </a:solidFill>
              <a:latin typeface="Arial"/>
            </a:defRPr>
          </a:pPr>
        </a:p>
      </c:txPr>
    </c:legend>
    <c:plotVisOnly val="1"/>
  </c:chart>
</c:chartSpace>
</file>

<file path=xl/drawings/_rels/drawing19.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295275</xdr:colOff>
      <xdr:row>54</xdr:row>
      <xdr:rowOff>190500</xdr:rowOff>
    </xdr:from>
    <xdr:ext cx="6372225" cy="3952875"/>
    <xdr:pic>
      <xdr:nvPicPr>
        <xdr:cNvPr id="1868519708"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390525</xdr:colOff>
      <xdr:row>17</xdr:row>
      <xdr:rowOff>123825</xdr:rowOff>
    </xdr:from>
    <xdr:ext cx="14630400" cy="90963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514350</xdr:colOff>
      <xdr:row>0</xdr:row>
      <xdr:rowOff>171450</xdr:rowOff>
    </xdr:from>
    <xdr:ext cx="9391650" cy="5819775"/>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apple.com/Bill" TargetMode="External"/><Relationship Id="rId2" Type="http://schemas.openxmlformats.org/officeDocument/2006/relationships/hyperlink" Target="http://apple.com/Bill" TargetMode="External"/><Relationship Id="rId3" Type="http://schemas.openxmlformats.org/officeDocument/2006/relationships/hyperlink" Target="http://apple.com/BILL" TargetMode="External"/><Relationship Id="rId4" Type="http://schemas.openxmlformats.org/officeDocument/2006/relationships/hyperlink" Target="http://apple.com/BILL" TargetMode="External"/><Relationship Id="rId5" Type="http://schemas.openxmlformats.org/officeDocument/2006/relationships/hyperlink" Target="http://apple.com/BILL" TargetMode="External"/><Relationship Id="rId6" Type="http://schemas.openxmlformats.org/officeDocument/2006/relationships/hyperlink" Target="http://apple.com/BILL" TargetMode="External"/><Relationship Id="rId7" Type="http://schemas.openxmlformats.org/officeDocument/2006/relationships/hyperlink" Target="http://netflix.com" TargetMode="External"/><Relationship Id="rId8"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9.71"/>
    <col customWidth="1" min="2" max="2" width="18.14"/>
    <col customWidth="1" min="5" max="5" width="37.57"/>
    <col customWidth="1" min="9" max="9" width="37.57"/>
  </cols>
  <sheetData>
    <row r="2">
      <c r="A2" s="1" t="s">
        <v>0</v>
      </c>
      <c r="E2" s="1" t="s">
        <v>1</v>
      </c>
      <c r="I2" s="1" t="s">
        <v>2</v>
      </c>
    </row>
    <row r="4">
      <c r="A4" s="2"/>
    </row>
    <row r="5">
      <c r="A5" s="3" t="s">
        <v>3</v>
      </c>
      <c r="B5" s="2">
        <v>44718.0</v>
      </c>
      <c r="C5" s="4">
        <v>49.83</v>
      </c>
      <c r="E5" s="3" t="s">
        <v>4</v>
      </c>
      <c r="F5" s="3" t="s">
        <v>5</v>
      </c>
      <c r="G5" s="5">
        <v>258.54</v>
      </c>
      <c r="I5" s="3" t="s">
        <v>4</v>
      </c>
      <c r="J5" s="4" t="s">
        <v>6</v>
      </c>
      <c r="K5" s="5">
        <v>258.54</v>
      </c>
    </row>
    <row r="6">
      <c r="A6" s="3" t="s">
        <v>7</v>
      </c>
      <c r="B6" s="2">
        <v>44686.0</v>
      </c>
      <c r="C6" s="4">
        <v>90.0</v>
      </c>
      <c r="E6" s="3" t="s">
        <v>8</v>
      </c>
      <c r="F6" s="2">
        <v>44655.0</v>
      </c>
      <c r="G6" s="5">
        <v>52.5</v>
      </c>
      <c r="I6" s="3" t="s">
        <v>9</v>
      </c>
      <c r="J6" s="2">
        <v>44717.0</v>
      </c>
      <c r="K6" s="5">
        <v>193.66</v>
      </c>
    </row>
    <row r="7">
      <c r="A7" s="3" t="s">
        <v>10</v>
      </c>
      <c r="B7" s="2">
        <v>44655.0</v>
      </c>
      <c r="C7" s="4">
        <v>22.41</v>
      </c>
      <c r="E7" s="3" t="s">
        <v>9</v>
      </c>
      <c r="F7" s="2">
        <v>44716.0</v>
      </c>
      <c r="G7" s="5">
        <v>193.66</v>
      </c>
      <c r="I7" s="3" t="s">
        <v>11</v>
      </c>
      <c r="J7" s="2">
        <v>44900.0</v>
      </c>
      <c r="K7" s="5">
        <v>122.0</v>
      </c>
    </row>
    <row r="8">
      <c r="A8" s="3" t="s">
        <v>4</v>
      </c>
      <c r="B8" s="3" t="s">
        <v>12</v>
      </c>
      <c r="C8" s="4">
        <v>258.54</v>
      </c>
      <c r="E8" s="3" t="s">
        <v>11</v>
      </c>
      <c r="F8" s="2">
        <v>44899.0</v>
      </c>
      <c r="G8" s="5">
        <v>122.0</v>
      </c>
      <c r="I8" s="3" t="s">
        <v>13</v>
      </c>
      <c r="J8" s="2">
        <v>44900.0</v>
      </c>
      <c r="K8" s="5">
        <v>11.0</v>
      </c>
    </row>
    <row r="9">
      <c r="A9" s="3" t="s">
        <v>8</v>
      </c>
      <c r="B9" s="2">
        <v>44654.0</v>
      </c>
      <c r="C9" s="4">
        <v>52.5</v>
      </c>
      <c r="E9" s="3" t="s">
        <v>13</v>
      </c>
      <c r="F9" s="2">
        <v>44899.0</v>
      </c>
      <c r="G9" s="5">
        <v>11.0</v>
      </c>
      <c r="I9" s="3" t="s">
        <v>14</v>
      </c>
      <c r="J9" s="2">
        <v>44778.0</v>
      </c>
      <c r="K9" s="5">
        <v>6.77</v>
      </c>
    </row>
    <row r="10">
      <c r="A10" s="3" t="s">
        <v>9</v>
      </c>
      <c r="B10" s="2">
        <v>44715.0</v>
      </c>
      <c r="C10" s="4">
        <v>193.66</v>
      </c>
      <c r="E10" s="3" t="s">
        <v>15</v>
      </c>
      <c r="F10" s="2">
        <v>44655.0</v>
      </c>
      <c r="G10" s="5">
        <v>10.67</v>
      </c>
      <c r="I10" s="3" t="s">
        <v>16</v>
      </c>
      <c r="J10" s="2">
        <v>44655.0</v>
      </c>
      <c r="K10" s="5">
        <v>129.11</v>
      </c>
    </row>
    <row r="11">
      <c r="A11" s="3" t="s">
        <v>11</v>
      </c>
      <c r="B11" s="2">
        <v>44898.0</v>
      </c>
      <c r="C11" s="4">
        <v>122.0</v>
      </c>
      <c r="E11" s="3" t="s">
        <v>17</v>
      </c>
      <c r="F11" s="2">
        <v>44655.0</v>
      </c>
      <c r="G11" s="5">
        <v>42.47</v>
      </c>
      <c r="I11" s="3"/>
      <c r="J11" s="2"/>
      <c r="K11" s="5"/>
    </row>
    <row r="12">
      <c r="A12" s="3" t="s">
        <v>13</v>
      </c>
      <c r="B12" s="2">
        <v>44898.0</v>
      </c>
      <c r="C12" s="4">
        <v>11.0</v>
      </c>
      <c r="E12" s="3" t="s">
        <v>14</v>
      </c>
      <c r="F12" s="2">
        <v>44777.0</v>
      </c>
      <c r="G12" s="5">
        <v>6.77</v>
      </c>
      <c r="I12" s="3"/>
      <c r="J12" s="2"/>
      <c r="K12" s="5"/>
    </row>
    <row r="13">
      <c r="A13" s="3" t="s">
        <v>18</v>
      </c>
      <c r="B13" s="2">
        <v>44623.0</v>
      </c>
      <c r="C13" s="4">
        <v>39.96</v>
      </c>
      <c r="E13" s="3" t="s">
        <v>16</v>
      </c>
      <c r="F13" s="2">
        <v>44654.0</v>
      </c>
      <c r="G13" s="5">
        <v>129.11</v>
      </c>
      <c r="I13" s="3"/>
      <c r="J13" s="2"/>
      <c r="K13" s="5"/>
    </row>
    <row r="14">
      <c r="A14" s="3" t="s">
        <v>9</v>
      </c>
      <c r="B14" s="2">
        <v>44623.0</v>
      </c>
      <c r="C14" s="4">
        <v>105.33</v>
      </c>
      <c r="E14" s="3" t="s">
        <v>19</v>
      </c>
      <c r="F14" s="2">
        <v>44623.0</v>
      </c>
      <c r="G14" s="5">
        <v>75.0</v>
      </c>
      <c r="I14" s="3"/>
      <c r="J14" s="2"/>
      <c r="K14" s="5"/>
    </row>
    <row r="15">
      <c r="A15" s="3" t="s">
        <v>15</v>
      </c>
      <c r="B15" s="2">
        <v>44654.0</v>
      </c>
      <c r="C15" s="4">
        <v>10.67</v>
      </c>
    </row>
    <row r="16">
      <c r="A16" s="3" t="s">
        <v>17</v>
      </c>
      <c r="B16" s="2">
        <v>44654.0</v>
      </c>
      <c r="C16" s="4">
        <v>42.47</v>
      </c>
    </row>
    <row r="17">
      <c r="A17" s="3" t="s">
        <v>14</v>
      </c>
      <c r="B17" s="2">
        <v>44776.0</v>
      </c>
      <c r="C17" s="4">
        <v>6.77</v>
      </c>
    </row>
    <row r="18">
      <c r="A18" s="3" t="s">
        <v>20</v>
      </c>
      <c r="B18" s="2">
        <v>44623.0</v>
      </c>
      <c r="C18" s="4">
        <v>295.0</v>
      </c>
    </row>
    <row r="19">
      <c r="A19" s="3" t="s">
        <v>21</v>
      </c>
      <c r="B19" s="2">
        <v>44594.0</v>
      </c>
      <c r="C19" s="4">
        <v>79.92</v>
      </c>
    </row>
    <row r="20">
      <c r="A20" s="3" t="s">
        <v>16</v>
      </c>
      <c r="B20" s="2">
        <v>44653.0</v>
      </c>
      <c r="C20" s="4">
        <v>129.11</v>
      </c>
    </row>
    <row r="21">
      <c r="A21" s="3" t="s">
        <v>22</v>
      </c>
      <c r="B21" s="2">
        <v>44594.0</v>
      </c>
      <c r="C21" s="4">
        <v>101.75</v>
      </c>
    </row>
    <row r="22">
      <c r="A22" s="3" t="s">
        <v>19</v>
      </c>
      <c r="B22" s="2">
        <v>44622.0</v>
      </c>
      <c r="C22" s="4">
        <v>75.0</v>
      </c>
    </row>
    <row r="24">
      <c r="C24" s="6">
        <f>SUM(C5:C22)</f>
        <v>1685.92</v>
      </c>
      <c r="G24" s="6">
        <f>SUM(G5:G22)</f>
        <v>901.72</v>
      </c>
      <c r="K24" s="6">
        <f>SUM(K5:K22)</f>
        <v>721.08</v>
      </c>
    </row>
  </sheetData>
  <mergeCells count="3">
    <mergeCell ref="A2:C3"/>
    <mergeCell ref="E2:G3"/>
    <mergeCell ref="I2:K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5" max="5" width="16.0"/>
    <col customWidth="1" min="9" max="9" width="20.43"/>
    <col customWidth="1" min="11" max="11" width="26.14"/>
  </cols>
  <sheetData>
    <row r="1">
      <c r="A1" s="7" t="s">
        <v>23</v>
      </c>
      <c r="B1" s="8">
        <f>F19</f>
        <v>6496.05</v>
      </c>
      <c r="C1" s="7" t="s">
        <v>23</v>
      </c>
      <c r="D1" s="8">
        <f>F20</f>
        <v>0</v>
      </c>
      <c r="E1" s="7" t="s">
        <v>23</v>
      </c>
      <c r="F1" s="8">
        <f>F21</f>
        <v>4133.85</v>
      </c>
      <c r="G1" s="7" t="s">
        <v>23</v>
      </c>
      <c r="H1" s="8">
        <f>F22</f>
        <v>1181.1</v>
      </c>
      <c r="I1" s="7" t="s">
        <v>23</v>
      </c>
      <c r="J1" s="8">
        <f>F23</f>
        <v>0</v>
      </c>
      <c r="K1" s="9" t="s">
        <v>24</v>
      </c>
      <c r="L1" s="10">
        <f t="shared" ref="L1:L2" si="1">SUM(B1,D1,F1,H1,J1)</f>
        <v>11811</v>
      </c>
      <c r="M1" s="11"/>
    </row>
    <row r="2">
      <c r="A2" s="12" t="s">
        <v>25</v>
      </c>
      <c r="B2" s="13">
        <f>B1-B27</f>
        <v>-2475.74</v>
      </c>
      <c r="C2" s="12" t="s">
        <v>25</v>
      </c>
      <c r="D2" s="13">
        <f>D1-D15</f>
        <v>0</v>
      </c>
      <c r="E2" s="12" t="s">
        <v>25</v>
      </c>
      <c r="F2" s="13">
        <f>F1-F15</f>
        <v>3598.85</v>
      </c>
      <c r="G2" s="12" t="s">
        <v>25</v>
      </c>
      <c r="H2" s="13">
        <f>H1-H15</f>
        <v>1181.1</v>
      </c>
      <c r="I2" s="12" t="s">
        <v>25</v>
      </c>
      <c r="J2" s="13">
        <f>J1-J15</f>
        <v>-874.39</v>
      </c>
      <c r="K2" s="14" t="s">
        <v>26</v>
      </c>
      <c r="L2" s="15">
        <f t="shared" si="1"/>
        <v>1429.82</v>
      </c>
      <c r="M2" s="11"/>
    </row>
    <row r="3">
      <c r="A3" s="16" t="s">
        <v>27</v>
      </c>
      <c r="B3" s="17"/>
      <c r="C3" s="16" t="s">
        <v>28</v>
      </c>
      <c r="D3" s="18"/>
      <c r="E3" s="16" t="s">
        <v>29</v>
      </c>
      <c r="F3" s="18"/>
      <c r="G3" s="16" t="s">
        <v>30</v>
      </c>
      <c r="H3" s="18"/>
      <c r="I3" s="16" t="s">
        <v>31</v>
      </c>
      <c r="J3" s="18"/>
      <c r="M3" s="11"/>
    </row>
    <row r="4">
      <c r="A4" s="19" t="s">
        <v>32</v>
      </c>
      <c r="B4" s="20">
        <v>127.0</v>
      </c>
      <c r="C4" s="21"/>
      <c r="D4" s="22"/>
      <c r="E4" s="21" t="s">
        <v>33</v>
      </c>
      <c r="F4" s="23">
        <v>535.0</v>
      </c>
      <c r="G4" s="21"/>
      <c r="H4" s="22"/>
      <c r="I4" s="19" t="s">
        <v>34</v>
      </c>
      <c r="J4" s="24">
        <v>10.62</v>
      </c>
      <c r="K4" s="11"/>
      <c r="L4" s="11"/>
      <c r="M4" s="11"/>
    </row>
    <row r="5">
      <c r="A5" s="19" t="s">
        <v>35</v>
      </c>
      <c r="B5" s="20">
        <v>95.0</v>
      </c>
      <c r="C5" s="25"/>
      <c r="D5" s="26"/>
      <c r="E5" s="21"/>
      <c r="F5" s="23"/>
      <c r="G5" s="25"/>
      <c r="H5" s="26"/>
      <c r="I5" s="19" t="s">
        <v>36</v>
      </c>
      <c r="J5" s="24">
        <v>17.52</v>
      </c>
      <c r="K5" s="11"/>
      <c r="L5" s="11"/>
      <c r="M5" s="11"/>
    </row>
    <row r="6">
      <c r="A6" s="19" t="s">
        <v>37</v>
      </c>
      <c r="B6" s="20">
        <v>97.0</v>
      </c>
      <c r="C6" s="25"/>
      <c r="D6" s="26"/>
      <c r="E6" s="25"/>
      <c r="F6" s="26"/>
      <c r="G6" s="25"/>
      <c r="H6" s="26"/>
      <c r="I6" s="27" t="s">
        <v>38</v>
      </c>
      <c r="J6" s="20">
        <v>34.76</v>
      </c>
      <c r="K6" s="11"/>
      <c r="L6" s="28"/>
      <c r="M6" s="11"/>
    </row>
    <row r="7">
      <c r="A7" s="27" t="s">
        <v>39</v>
      </c>
      <c r="B7" s="20">
        <v>501.0</v>
      </c>
      <c r="C7" s="25"/>
      <c r="D7" s="26"/>
      <c r="E7" s="25"/>
      <c r="F7" s="26"/>
      <c r="G7" s="25"/>
      <c r="H7" s="26"/>
      <c r="I7" s="19" t="s">
        <v>40</v>
      </c>
      <c r="J7" s="24">
        <v>14.9</v>
      </c>
      <c r="K7" s="11"/>
      <c r="L7" s="28"/>
      <c r="M7" s="11"/>
    </row>
    <row r="8">
      <c r="A8" s="29" t="s">
        <v>41</v>
      </c>
      <c r="B8" s="30">
        <v>193.0</v>
      </c>
      <c r="C8" s="25"/>
      <c r="D8" s="26"/>
      <c r="E8" s="31"/>
      <c r="F8" s="26"/>
      <c r="G8" s="25"/>
      <c r="H8" s="26"/>
      <c r="I8" s="19" t="s">
        <v>42</v>
      </c>
      <c r="J8" s="24">
        <v>279.0</v>
      </c>
      <c r="K8" s="28"/>
      <c r="L8" s="28"/>
      <c r="M8" s="11"/>
    </row>
    <row r="9">
      <c r="A9" s="27" t="s">
        <v>43</v>
      </c>
      <c r="B9" s="20">
        <v>261.5</v>
      </c>
      <c r="C9" s="25"/>
      <c r="D9" s="26"/>
      <c r="E9" s="31"/>
      <c r="F9" s="26"/>
      <c r="G9" s="25"/>
      <c r="H9" s="26"/>
      <c r="I9" s="27" t="s">
        <v>44</v>
      </c>
      <c r="J9" s="20">
        <v>11.6</v>
      </c>
      <c r="K9" s="11"/>
      <c r="L9" s="28"/>
      <c r="M9" s="11"/>
    </row>
    <row r="10">
      <c r="A10" s="32"/>
      <c r="B10" s="33"/>
      <c r="C10" s="25"/>
      <c r="D10" s="26"/>
      <c r="E10" s="25"/>
      <c r="F10" s="26"/>
      <c r="G10" s="25"/>
      <c r="H10" s="26"/>
      <c r="I10" s="27" t="s">
        <v>45</v>
      </c>
      <c r="J10" s="20">
        <v>200.0</v>
      </c>
      <c r="K10" s="11"/>
      <c r="L10" s="28"/>
      <c r="M10" s="11"/>
    </row>
    <row r="11">
      <c r="A11" s="21"/>
      <c r="B11" s="23"/>
      <c r="C11" s="31"/>
      <c r="D11" s="26"/>
      <c r="E11" s="31"/>
      <c r="F11" s="26"/>
      <c r="G11" s="31"/>
      <c r="H11" s="26"/>
      <c r="I11" s="34" t="s">
        <v>46</v>
      </c>
      <c r="J11" s="20">
        <v>177.99</v>
      </c>
      <c r="K11" s="35" t="s">
        <v>47</v>
      </c>
      <c r="L11" s="28"/>
      <c r="M11" s="11"/>
    </row>
    <row r="12">
      <c r="A12" s="32"/>
      <c r="B12" s="36"/>
      <c r="C12" s="31"/>
      <c r="D12" s="26"/>
      <c r="E12" s="31"/>
      <c r="F12" s="26"/>
      <c r="G12" s="31"/>
      <c r="H12" s="26"/>
      <c r="I12" s="37" t="s">
        <v>48</v>
      </c>
      <c r="J12" s="23">
        <v>128.0</v>
      </c>
      <c r="K12" s="11"/>
      <c r="L12" s="28"/>
      <c r="M12" s="11"/>
    </row>
    <row r="13">
      <c r="A13" s="31"/>
      <c r="B13" s="26"/>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1274.5</v>
      </c>
      <c r="C15" s="25" t="s">
        <v>50</v>
      </c>
      <c r="D15" s="26">
        <f>SUM(D4:D14)</f>
        <v>0</v>
      </c>
      <c r="E15" s="39" t="s">
        <v>50</v>
      </c>
      <c r="F15" s="40">
        <f>SUM(F4:F14)</f>
        <v>535</v>
      </c>
      <c r="G15" s="39" t="s">
        <v>50</v>
      </c>
      <c r="H15" s="40">
        <f>SUM(H4:H14)</f>
        <v>0</v>
      </c>
      <c r="I15" s="39" t="s">
        <v>50</v>
      </c>
      <c r="J15" s="40">
        <f>SUM(J4:J14)</f>
        <v>874.39</v>
      </c>
      <c r="K15" s="11"/>
      <c r="L15" s="11"/>
      <c r="M15" s="11"/>
    </row>
    <row r="16">
      <c r="A16" s="41" t="s">
        <v>51</v>
      </c>
      <c r="B16" s="17"/>
      <c r="C16" s="11"/>
      <c r="D16" s="42"/>
      <c r="E16" s="42"/>
      <c r="F16" s="42"/>
      <c r="G16" s="11"/>
      <c r="H16" s="42"/>
      <c r="I16" s="42"/>
      <c r="J16" s="42"/>
      <c r="K16" s="42"/>
      <c r="L16" s="42"/>
      <c r="M16" s="42"/>
    </row>
    <row r="17">
      <c r="A17" s="43" t="s">
        <v>52</v>
      </c>
      <c r="B17" s="30">
        <v>1297.0</v>
      </c>
      <c r="D17" s="44" t="s">
        <v>53</v>
      </c>
      <c r="E17" s="17"/>
      <c r="F17" s="18"/>
      <c r="G17" s="45"/>
      <c r="H17" s="46" t="s">
        <v>54</v>
      </c>
      <c r="M17" s="47"/>
    </row>
    <row r="18">
      <c r="A18" s="48" t="s">
        <v>55</v>
      </c>
      <c r="B18" s="49">
        <v>1372.0</v>
      </c>
      <c r="C18" s="50"/>
      <c r="D18" s="51" t="s">
        <v>56</v>
      </c>
      <c r="E18" s="52">
        <v>11811.0</v>
      </c>
      <c r="F18" s="18"/>
      <c r="G18" s="45"/>
      <c r="M18" s="47"/>
    </row>
    <row r="19">
      <c r="A19" s="53" t="s">
        <v>57</v>
      </c>
      <c r="B19" s="54">
        <v>201.29</v>
      </c>
      <c r="C19" s="55"/>
      <c r="D19" s="56" t="s">
        <v>58</v>
      </c>
      <c r="E19" s="57">
        <v>0.55</v>
      </c>
      <c r="F19" s="58">
        <f>E18*E19</f>
        <v>6496.05</v>
      </c>
      <c r="G19" s="45"/>
      <c r="M19" s="47"/>
    </row>
    <row r="20">
      <c r="A20" s="59" t="s">
        <v>59</v>
      </c>
      <c r="B20" s="49">
        <v>1496.0</v>
      </c>
      <c r="C20" s="50"/>
      <c r="D20" s="56" t="s">
        <v>60</v>
      </c>
      <c r="E20" s="60">
        <v>0.0</v>
      </c>
      <c r="F20" s="58">
        <f>E18*E20</f>
        <v>0</v>
      </c>
      <c r="G20" s="45"/>
      <c r="M20" s="47"/>
    </row>
    <row r="21">
      <c r="A21" s="53" t="s">
        <v>61</v>
      </c>
      <c r="B21" s="61">
        <v>3331.0</v>
      </c>
      <c r="C21" s="50"/>
      <c r="D21" s="56" t="s">
        <v>62</v>
      </c>
      <c r="E21" s="60">
        <v>0.35</v>
      </c>
      <c r="F21" s="58">
        <f>E18*E21</f>
        <v>4133.85</v>
      </c>
      <c r="G21" s="45"/>
      <c r="M21" s="47"/>
    </row>
    <row r="22">
      <c r="A22" s="31"/>
      <c r="B22" s="26"/>
      <c r="C22" s="50"/>
      <c r="D22" s="56" t="s">
        <v>63</v>
      </c>
      <c r="E22" s="57">
        <v>0.1</v>
      </c>
      <c r="F22" s="58">
        <f>E18*E22</f>
        <v>1181.1</v>
      </c>
      <c r="G22" s="45"/>
      <c r="M22" s="47"/>
    </row>
    <row r="23">
      <c r="A23" s="25"/>
      <c r="B23" s="26"/>
      <c r="C23" s="50"/>
      <c r="D23" s="56" t="s">
        <v>64</v>
      </c>
      <c r="E23" s="60">
        <v>0.0</v>
      </c>
      <c r="F23" s="58">
        <f>E18*E23</f>
        <v>0</v>
      </c>
      <c r="G23" s="45"/>
      <c r="M23" s="47"/>
    </row>
    <row r="24">
      <c r="A24" s="25"/>
      <c r="B24" s="26"/>
      <c r="C24" s="50"/>
      <c r="D24" s="62" t="s">
        <v>65</v>
      </c>
      <c r="E24" s="47"/>
      <c r="F24" s="63">
        <f>SUM(F19:F23)</f>
        <v>11811</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8971.79</v>
      </c>
      <c r="C27" s="11"/>
      <c r="D27" s="11"/>
      <c r="E27" s="11"/>
      <c r="F27" s="11"/>
      <c r="G27" s="45"/>
      <c r="H27" s="17"/>
      <c r="I27" s="17"/>
      <c r="J27" s="17"/>
      <c r="K27" s="17"/>
      <c r="L27" s="17"/>
      <c r="M27" s="18"/>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5" max="5" width="16.0"/>
    <col customWidth="1" min="9" max="9" width="20.43"/>
  </cols>
  <sheetData>
    <row r="1">
      <c r="A1" s="7" t="s">
        <v>23</v>
      </c>
      <c r="B1" s="8">
        <f>F19</f>
        <v>12650</v>
      </c>
      <c r="C1" s="7" t="s">
        <v>23</v>
      </c>
      <c r="D1" s="8">
        <f>F20</f>
        <v>0</v>
      </c>
      <c r="E1" s="7" t="s">
        <v>23</v>
      </c>
      <c r="F1" s="8">
        <f>F21</f>
        <v>8050</v>
      </c>
      <c r="G1" s="7" t="s">
        <v>23</v>
      </c>
      <c r="H1" s="8">
        <f>F22</f>
        <v>2300</v>
      </c>
      <c r="I1" s="7" t="s">
        <v>23</v>
      </c>
      <c r="J1" s="8">
        <f>F23</f>
        <v>0</v>
      </c>
      <c r="K1" s="9" t="s">
        <v>24</v>
      </c>
      <c r="L1" s="10">
        <f t="shared" ref="L1:L2" si="1">SUM(B1,D1,F1,H1,J1)</f>
        <v>23000</v>
      </c>
      <c r="M1" s="11"/>
    </row>
    <row r="2">
      <c r="A2" s="12" t="s">
        <v>25</v>
      </c>
      <c r="B2" s="13">
        <f>B1-B27</f>
        <v>-1248.91</v>
      </c>
      <c r="C2" s="12" t="s">
        <v>25</v>
      </c>
      <c r="D2" s="13">
        <f>D1-D15</f>
        <v>0</v>
      </c>
      <c r="E2" s="12" t="s">
        <v>25</v>
      </c>
      <c r="F2" s="13">
        <f>F1-F15</f>
        <v>7515</v>
      </c>
      <c r="G2" s="12" t="s">
        <v>25</v>
      </c>
      <c r="H2" s="13">
        <f>H1-H15</f>
        <v>2300</v>
      </c>
      <c r="I2" s="12" t="s">
        <v>25</v>
      </c>
      <c r="J2" s="13">
        <f>J1-J15</f>
        <v>-729.91</v>
      </c>
      <c r="K2" s="14" t="s">
        <v>26</v>
      </c>
      <c r="L2" s="15">
        <f t="shared" si="1"/>
        <v>7836.18</v>
      </c>
      <c r="M2" s="11"/>
    </row>
    <row r="3">
      <c r="A3" s="16" t="s">
        <v>27</v>
      </c>
      <c r="B3" s="17"/>
      <c r="C3" s="16" t="s">
        <v>28</v>
      </c>
      <c r="D3" s="18"/>
      <c r="E3" s="16" t="s">
        <v>29</v>
      </c>
      <c r="F3" s="18"/>
      <c r="G3" s="16" t="s">
        <v>30</v>
      </c>
      <c r="H3" s="18"/>
      <c r="I3" s="16" t="s">
        <v>31</v>
      </c>
      <c r="J3" s="18"/>
      <c r="M3" s="11"/>
    </row>
    <row r="4">
      <c r="A4" s="19" t="s">
        <v>32</v>
      </c>
      <c r="B4" s="20">
        <v>127.0</v>
      </c>
      <c r="C4" s="21"/>
      <c r="D4" s="22"/>
      <c r="E4" s="27" t="s">
        <v>33</v>
      </c>
      <c r="F4" s="20">
        <v>535.0</v>
      </c>
      <c r="G4" s="21"/>
      <c r="H4" s="22"/>
      <c r="I4" s="19" t="s">
        <v>34</v>
      </c>
      <c r="J4" s="24">
        <v>10.62</v>
      </c>
      <c r="K4" s="11"/>
      <c r="L4" s="11"/>
      <c r="M4" s="11"/>
    </row>
    <row r="5">
      <c r="A5" s="19" t="s">
        <v>35</v>
      </c>
      <c r="B5" s="20">
        <v>95.0</v>
      </c>
      <c r="C5" s="25"/>
      <c r="D5" s="26"/>
      <c r="E5" s="21"/>
      <c r="F5" s="23"/>
      <c r="G5" s="25"/>
      <c r="H5" s="26"/>
      <c r="I5" s="19" t="s">
        <v>36</v>
      </c>
      <c r="J5" s="24">
        <v>17.52</v>
      </c>
      <c r="K5" s="11"/>
      <c r="L5" s="11"/>
      <c r="M5" s="11"/>
    </row>
    <row r="6">
      <c r="A6" s="19" t="s">
        <v>37</v>
      </c>
      <c r="B6" s="20">
        <v>97.0</v>
      </c>
      <c r="C6" s="25"/>
      <c r="D6" s="26"/>
      <c r="E6" s="25"/>
      <c r="F6" s="26"/>
      <c r="G6" s="25"/>
      <c r="H6" s="26"/>
      <c r="I6" s="27" t="s">
        <v>38</v>
      </c>
      <c r="J6" s="20">
        <v>34.76</v>
      </c>
      <c r="K6" s="11"/>
      <c r="L6" s="28"/>
      <c r="M6" s="11"/>
    </row>
    <row r="7">
      <c r="A7" s="19" t="s">
        <v>39</v>
      </c>
      <c r="B7" s="24">
        <v>501.0</v>
      </c>
      <c r="C7" s="25"/>
      <c r="D7" s="26"/>
      <c r="E7" s="25"/>
      <c r="F7" s="26"/>
      <c r="G7" s="25"/>
      <c r="H7" s="26"/>
      <c r="I7" s="19" t="s">
        <v>40</v>
      </c>
      <c r="J7" s="24">
        <v>14.9</v>
      </c>
      <c r="K7" s="11"/>
      <c r="L7" s="28"/>
      <c r="M7" s="11"/>
    </row>
    <row r="8">
      <c r="A8" s="19" t="s">
        <v>41</v>
      </c>
      <c r="B8" s="24">
        <v>193.0</v>
      </c>
      <c r="C8" s="25"/>
      <c r="D8" s="26"/>
      <c r="E8" s="31"/>
      <c r="F8" s="26"/>
      <c r="G8" s="25"/>
      <c r="H8" s="26"/>
      <c r="I8" s="19" t="s">
        <v>42</v>
      </c>
      <c r="J8" s="24">
        <v>279.0</v>
      </c>
      <c r="K8" s="28"/>
      <c r="L8" s="28"/>
      <c r="M8" s="11"/>
    </row>
    <row r="9">
      <c r="A9" s="27" t="s">
        <v>43</v>
      </c>
      <c r="B9" s="20">
        <v>261.5</v>
      </c>
      <c r="C9" s="25"/>
      <c r="D9" s="26"/>
      <c r="E9" s="31"/>
      <c r="F9" s="26"/>
      <c r="G9" s="25"/>
      <c r="H9" s="26"/>
      <c r="I9" s="27" t="s">
        <v>44</v>
      </c>
      <c r="J9" s="20">
        <v>11.6</v>
      </c>
      <c r="K9" s="11"/>
      <c r="L9" s="66"/>
      <c r="M9" s="11"/>
    </row>
    <row r="10">
      <c r="A10" s="32"/>
      <c r="B10" s="33"/>
      <c r="C10" s="25"/>
      <c r="D10" s="26"/>
      <c r="E10" s="25"/>
      <c r="F10" s="26"/>
      <c r="G10" s="25"/>
      <c r="H10" s="26"/>
      <c r="I10" s="27"/>
      <c r="J10" s="20"/>
      <c r="K10" s="11"/>
      <c r="L10" s="66"/>
      <c r="M10" s="11"/>
    </row>
    <row r="11">
      <c r="A11" s="21"/>
      <c r="B11" s="23"/>
      <c r="C11" s="31"/>
      <c r="D11" s="26"/>
      <c r="E11" s="31"/>
      <c r="F11" s="26"/>
      <c r="G11" s="31"/>
      <c r="H11" s="26"/>
      <c r="I11" s="37" t="s">
        <v>66</v>
      </c>
      <c r="J11" s="26"/>
      <c r="K11" s="11"/>
      <c r="L11" s="66"/>
      <c r="M11" s="11"/>
    </row>
    <row r="12">
      <c r="A12" s="32"/>
      <c r="B12" s="36"/>
      <c r="C12" s="31"/>
      <c r="D12" s="26"/>
      <c r="E12" s="31"/>
      <c r="F12" s="26"/>
      <c r="G12" s="31"/>
      <c r="H12" s="26"/>
      <c r="I12" s="34" t="s">
        <v>48</v>
      </c>
      <c r="J12" s="20">
        <v>128.0</v>
      </c>
      <c r="K12" s="11"/>
      <c r="L12" s="28"/>
      <c r="M12" s="11"/>
    </row>
    <row r="13">
      <c r="A13" s="31"/>
      <c r="B13" s="26"/>
      <c r="C13" s="31"/>
      <c r="D13" s="26"/>
      <c r="E13" s="31"/>
      <c r="F13" s="26"/>
      <c r="G13" s="31"/>
      <c r="H13" s="26"/>
      <c r="I13" s="34" t="s">
        <v>67</v>
      </c>
      <c r="J13" s="20">
        <v>56.51</v>
      </c>
      <c r="K13" s="11"/>
      <c r="L13" s="28"/>
      <c r="M13" s="11"/>
    </row>
    <row r="14">
      <c r="A14" s="31"/>
      <c r="B14" s="26"/>
      <c r="C14" s="31"/>
      <c r="D14" s="26"/>
      <c r="E14" s="31"/>
      <c r="F14" s="26"/>
      <c r="G14" s="31"/>
      <c r="H14" s="26"/>
      <c r="I14" s="27" t="s">
        <v>68</v>
      </c>
      <c r="J14" s="20">
        <v>177.0</v>
      </c>
      <c r="K14" s="11"/>
      <c r="L14" s="11"/>
      <c r="M14" s="11"/>
    </row>
    <row r="15">
      <c r="A15" s="25" t="s">
        <v>49</v>
      </c>
      <c r="B15" s="38">
        <f>SUM(B4:B14)</f>
        <v>1274.5</v>
      </c>
      <c r="C15" s="25" t="s">
        <v>50</v>
      </c>
      <c r="D15" s="26">
        <f>SUM(D4:D14)</f>
        <v>0</v>
      </c>
      <c r="E15" s="39" t="s">
        <v>50</v>
      </c>
      <c r="F15" s="40">
        <f>SUM(F4:F14)</f>
        <v>535</v>
      </c>
      <c r="G15" s="39" t="s">
        <v>50</v>
      </c>
      <c r="H15" s="40">
        <f>SUM(H4:H14)</f>
        <v>0</v>
      </c>
      <c r="I15" s="39" t="s">
        <v>50</v>
      </c>
      <c r="J15" s="40">
        <f>SUM(J4:J14)</f>
        <v>729.91</v>
      </c>
      <c r="K15" s="11"/>
      <c r="L15" s="11"/>
      <c r="M15" s="11"/>
    </row>
    <row r="16">
      <c r="A16" s="41" t="s">
        <v>51</v>
      </c>
      <c r="B16" s="17"/>
      <c r="C16" s="11"/>
      <c r="D16" s="42"/>
      <c r="E16" s="42"/>
      <c r="F16" s="42"/>
      <c r="G16" s="11"/>
      <c r="H16" s="42"/>
      <c r="I16" s="42"/>
      <c r="J16" s="42"/>
      <c r="K16" s="42"/>
      <c r="L16" s="42"/>
      <c r="M16" s="42"/>
    </row>
    <row r="17">
      <c r="A17" s="43" t="s">
        <v>52</v>
      </c>
      <c r="B17" s="30">
        <v>2698.16</v>
      </c>
      <c r="C17" s="50" t="s">
        <v>69</v>
      </c>
      <c r="D17" s="44" t="s">
        <v>53</v>
      </c>
      <c r="E17" s="17"/>
      <c r="F17" s="18"/>
      <c r="G17" s="45"/>
      <c r="H17" s="46" t="s">
        <v>54</v>
      </c>
      <c r="M17" s="47"/>
    </row>
    <row r="18">
      <c r="A18" s="48" t="s">
        <v>55</v>
      </c>
      <c r="B18" s="49">
        <v>1323.25</v>
      </c>
      <c r="C18" s="50" t="s">
        <v>69</v>
      </c>
      <c r="D18" s="51" t="s">
        <v>56</v>
      </c>
      <c r="E18" s="52">
        <v>23000.0</v>
      </c>
      <c r="F18" s="18"/>
      <c r="G18" s="45"/>
      <c r="M18" s="47"/>
    </row>
    <row r="19">
      <c r="A19" s="59" t="s">
        <v>57</v>
      </c>
      <c r="B19" s="67">
        <v>1691.0</v>
      </c>
      <c r="C19" s="55"/>
      <c r="D19" s="56" t="s">
        <v>58</v>
      </c>
      <c r="E19" s="57">
        <v>0.55</v>
      </c>
      <c r="F19" s="58">
        <f>E18*E19</f>
        <v>12650</v>
      </c>
      <c r="G19" s="45"/>
      <c r="M19" s="47"/>
    </row>
    <row r="20">
      <c r="A20" s="59" t="s">
        <v>59</v>
      </c>
      <c r="B20" s="49">
        <v>1496.0</v>
      </c>
      <c r="C20" s="50" t="s">
        <v>69</v>
      </c>
      <c r="D20" s="56" t="s">
        <v>60</v>
      </c>
      <c r="E20" s="60">
        <v>0.0</v>
      </c>
      <c r="F20" s="58">
        <f>E18*E20</f>
        <v>0</v>
      </c>
      <c r="G20" s="45"/>
      <c r="M20" s="47"/>
    </row>
    <row r="21">
      <c r="A21" s="59" t="s">
        <v>61</v>
      </c>
      <c r="B21" s="49">
        <v>5416.0</v>
      </c>
      <c r="C21" s="50"/>
      <c r="D21" s="56" t="s">
        <v>62</v>
      </c>
      <c r="E21" s="60">
        <v>0.35</v>
      </c>
      <c r="F21" s="58">
        <f>E18*E21</f>
        <v>8050</v>
      </c>
      <c r="G21" s="45"/>
      <c r="M21" s="47"/>
    </row>
    <row r="22">
      <c r="A22" s="31"/>
      <c r="B22" s="26"/>
      <c r="C22" s="50"/>
      <c r="D22" s="56" t="s">
        <v>63</v>
      </c>
      <c r="E22" s="57">
        <v>0.1</v>
      </c>
      <c r="F22" s="58">
        <f>E18*E22</f>
        <v>2300</v>
      </c>
      <c r="G22" s="45"/>
      <c r="M22" s="47"/>
    </row>
    <row r="23">
      <c r="A23" s="25"/>
      <c r="B23" s="26"/>
      <c r="C23" s="50"/>
      <c r="D23" s="56" t="s">
        <v>64</v>
      </c>
      <c r="E23" s="60">
        <v>0.0</v>
      </c>
      <c r="F23" s="58">
        <f>E18*E23</f>
        <v>0</v>
      </c>
      <c r="G23" s="45"/>
      <c r="M23" s="47"/>
    </row>
    <row r="24">
      <c r="A24" s="25"/>
      <c r="B24" s="26"/>
      <c r="C24" s="50"/>
      <c r="D24" s="62" t="s">
        <v>65</v>
      </c>
      <c r="E24" s="47"/>
      <c r="F24" s="63">
        <f>SUM(F19:F23)</f>
        <v>23000</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13898.91</v>
      </c>
      <c r="C27" s="11"/>
      <c r="D27" s="11"/>
      <c r="E27" s="11"/>
      <c r="F27" s="11"/>
      <c r="G27" s="45"/>
      <c r="H27" s="17"/>
      <c r="I27" s="17"/>
      <c r="J27" s="17"/>
      <c r="K27" s="17"/>
      <c r="L27" s="17"/>
      <c r="M27" s="18"/>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5" max="5" width="16.0"/>
    <col customWidth="1" min="9" max="9" width="20.43"/>
  </cols>
  <sheetData>
    <row r="1">
      <c r="A1" s="7" t="s">
        <v>23</v>
      </c>
      <c r="B1" s="8">
        <f>F19</f>
        <v>5665</v>
      </c>
      <c r="C1" s="7" t="s">
        <v>23</v>
      </c>
      <c r="D1" s="8">
        <f>F20</f>
        <v>0</v>
      </c>
      <c r="E1" s="7" t="s">
        <v>23</v>
      </c>
      <c r="F1" s="8">
        <f>F21</f>
        <v>3605</v>
      </c>
      <c r="G1" s="7" t="s">
        <v>23</v>
      </c>
      <c r="H1" s="8">
        <f>F22</f>
        <v>1030</v>
      </c>
      <c r="I1" s="7" t="s">
        <v>23</v>
      </c>
      <c r="J1" s="8">
        <f>F23</f>
        <v>0</v>
      </c>
      <c r="K1" s="9" t="s">
        <v>24</v>
      </c>
      <c r="L1" s="10">
        <f t="shared" ref="L1:L2" si="1">SUM(B1,D1,F1,H1,J1)</f>
        <v>10300</v>
      </c>
      <c r="M1" s="11"/>
    </row>
    <row r="2">
      <c r="A2" s="12" t="s">
        <v>25</v>
      </c>
      <c r="B2" s="13">
        <f>B1-B27</f>
        <v>-3397.44</v>
      </c>
      <c r="C2" s="12" t="s">
        <v>25</v>
      </c>
      <c r="D2" s="13">
        <f>D1-D15</f>
        <v>0</v>
      </c>
      <c r="E2" s="12" t="s">
        <v>25</v>
      </c>
      <c r="F2" s="13">
        <f>F1-F15</f>
        <v>3070</v>
      </c>
      <c r="G2" s="12" t="s">
        <v>25</v>
      </c>
      <c r="H2" s="13">
        <f>H1-H15</f>
        <v>1030</v>
      </c>
      <c r="I2" s="12" t="s">
        <v>25</v>
      </c>
      <c r="J2" s="13">
        <f>J1-J15</f>
        <v>-552.91</v>
      </c>
      <c r="K2" s="14" t="s">
        <v>26</v>
      </c>
      <c r="L2" s="15">
        <f t="shared" si="1"/>
        <v>149.65</v>
      </c>
      <c r="M2" s="11"/>
    </row>
    <row r="3">
      <c r="A3" s="16" t="s">
        <v>27</v>
      </c>
      <c r="B3" s="17"/>
      <c r="C3" s="16" t="s">
        <v>28</v>
      </c>
      <c r="D3" s="18"/>
      <c r="E3" s="16" t="s">
        <v>29</v>
      </c>
      <c r="F3" s="18"/>
      <c r="G3" s="16" t="s">
        <v>30</v>
      </c>
      <c r="H3" s="18"/>
      <c r="I3" s="16" t="s">
        <v>31</v>
      </c>
      <c r="J3" s="18"/>
      <c r="M3" s="11"/>
    </row>
    <row r="4">
      <c r="A4" s="29" t="s">
        <v>32</v>
      </c>
      <c r="B4" s="24">
        <v>127.0</v>
      </c>
      <c r="C4" s="21"/>
      <c r="D4" s="22"/>
      <c r="E4" s="27" t="s">
        <v>70</v>
      </c>
      <c r="F4" s="20">
        <v>535.0</v>
      </c>
      <c r="G4" s="21"/>
      <c r="H4" s="22"/>
      <c r="I4" s="34" t="s">
        <v>34</v>
      </c>
      <c r="J4" s="24">
        <v>10.62</v>
      </c>
      <c r="K4" s="11"/>
      <c r="L4" s="11"/>
      <c r="M4" s="11"/>
    </row>
    <row r="5">
      <c r="A5" s="29" t="s">
        <v>35</v>
      </c>
      <c r="B5" s="24">
        <v>95.0</v>
      </c>
      <c r="C5" s="25"/>
      <c r="D5" s="26"/>
      <c r="E5" s="21"/>
      <c r="F5" s="23"/>
      <c r="G5" s="25"/>
      <c r="H5" s="26"/>
      <c r="I5" s="34" t="s">
        <v>36</v>
      </c>
      <c r="J5" s="24">
        <v>17.52</v>
      </c>
      <c r="K5" s="11"/>
      <c r="L5" s="11"/>
      <c r="M5" s="11"/>
    </row>
    <row r="6">
      <c r="A6" s="19" t="s">
        <v>37</v>
      </c>
      <c r="B6" s="20">
        <v>139.64</v>
      </c>
      <c r="C6" s="25"/>
      <c r="D6" s="26"/>
      <c r="E6" s="25"/>
      <c r="F6" s="26"/>
      <c r="G6" s="25"/>
      <c r="H6" s="26"/>
      <c r="I6" s="34" t="s">
        <v>38</v>
      </c>
      <c r="J6" s="24">
        <v>34.76</v>
      </c>
      <c r="K6" s="11"/>
      <c r="L6" s="28"/>
      <c r="M6" s="11"/>
    </row>
    <row r="7">
      <c r="A7" s="19" t="s">
        <v>39</v>
      </c>
      <c r="B7" s="24">
        <v>501.0</v>
      </c>
      <c r="C7" s="25"/>
      <c r="D7" s="26"/>
      <c r="E7" s="25"/>
      <c r="F7" s="26"/>
      <c r="G7" s="25"/>
      <c r="H7" s="26"/>
      <c r="I7" s="34" t="s">
        <v>40</v>
      </c>
      <c r="J7" s="24">
        <v>14.9</v>
      </c>
      <c r="K7" s="11"/>
      <c r="L7" s="28"/>
      <c r="M7" s="11"/>
    </row>
    <row r="8">
      <c r="A8" s="25" t="s">
        <v>41</v>
      </c>
      <c r="B8" s="26">
        <v>193.0</v>
      </c>
      <c r="C8" s="25"/>
      <c r="D8" s="26"/>
      <c r="E8" s="31"/>
      <c r="F8" s="26"/>
      <c r="G8" s="25"/>
      <c r="H8" s="26"/>
      <c r="I8" s="34" t="s">
        <v>42</v>
      </c>
      <c r="J8" s="24">
        <v>279.0</v>
      </c>
      <c r="K8" s="28"/>
      <c r="L8" s="28"/>
      <c r="M8" s="11"/>
    </row>
    <row r="9">
      <c r="A9" s="19" t="s">
        <v>43</v>
      </c>
      <c r="B9" s="24">
        <v>261.5</v>
      </c>
      <c r="C9" s="25"/>
      <c r="D9" s="26"/>
      <c r="E9" s="31"/>
      <c r="F9" s="26"/>
      <c r="G9" s="25"/>
      <c r="H9" s="26"/>
      <c r="I9" s="34" t="s">
        <v>44</v>
      </c>
      <c r="J9" s="24">
        <v>11.6</v>
      </c>
      <c r="K9" s="11"/>
      <c r="L9" s="66"/>
      <c r="M9" s="11"/>
    </row>
    <row r="10">
      <c r="A10" s="32"/>
      <c r="B10" s="26"/>
      <c r="C10" s="25"/>
      <c r="D10" s="26"/>
      <c r="E10" s="25"/>
      <c r="F10" s="26"/>
      <c r="G10" s="25"/>
      <c r="H10" s="26"/>
      <c r="I10" s="37"/>
      <c r="J10" s="26"/>
      <c r="K10" s="11"/>
      <c r="L10" s="66"/>
      <c r="M10" s="11"/>
    </row>
    <row r="11">
      <c r="A11" s="21"/>
      <c r="B11" s="26"/>
      <c r="C11" s="31"/>
      <c r="D11" s="26"/>
      <c r="E11" s="31"/>
      <c r="F11" s="26"/>
      <c r="G11" s="31"/>
      <c r="H11" s="26"/>
      <c r="I11" s="37" t="s">
        <v>66</v>
      </c>
      <c r="J11" s="26"/>
      <c r="K11" s="11"/>
      <c r="L11" s="66"/>
      <c r="M11" s="11"/>
    </row>
    <row r="12">
      <c r="A12" s="32"/>
      <c r="B12" s="36"/>
      <c r="C12" s="31"/>
      <c r="D12" s="26"/>
      <c r="E12" s="31"/>
      <c r="F12" s="26"/>
      <c r="G12" s="31"/>
      <c r="H12" s="26"/>
      <c r="I12" s="34" t="s">
        <v>71</v>
      </c>
      <c r="J12" s="24">
        <v>128.0</v>
      </c>
      <c r="K12" s="11"/>
      <c r="L12" s="28"/>
      <c r="M12" s="11"/>
    </row>
    <row r="13">
      <c r="A13" s="31"/>
      <c r="B13" s="26"/>
      <c r="C13" s="31"/>
      <c r="D13" s="26"/>
      <c r="E13" s="31"/>
      <c r="F13" s="26"/>
      <c r="G13" s="31"/>
      <c r="H13" s="26"/>
      <c r="I13" s="34" t="s">
        <v>72</v>
      </c>
      <c r="J13" s="20">
        <v>56.51</v>
      </c>
      <c r="K13" s="11"/>
      <c r="L13" s="28"/>
      <c r="M13" s="11"/>
    </row>
    <row r="14">
      <c r="A14" s="31"/>
      <c r="B14" s="26"/>
      <c r="C14" s="31"/>
      <c r="D14" s="26"/>
      <c r="E14" s="31"/>
      <c r="F14" s="26"/>
      <c r="G14" s="31"/>
      <c r="H14" s="26"/>
      <c r="I14" s="37"/>
      <c r="J14" s="26"/>
      <c r="K14" s="11"/>
      <c r="L14" s="11"/>
      <c r="M14" s="11"/>
    </row>
    <row r="15">
      <c r="A15" s="25" t="s">
        <v>49</v>
      </c>
      <c r="B15" s="38">
        <f>SUM(B4:B14)</f>
        <v>1317.14</v>
      </c>
      <c r="C15" s="25" t="s">
        <v>50</v>
      </c>
      <c r="D15" s="26">
        <f>SUM(D4:D14)</f>
        <v>0</v>
      </c>
      <c r="E15" s="39" t="s">
        <v>50</v>
      </c>
      <c r="F15" s="40">
        <f>SUM(F4:F14)</f>
        <v>535</v>
      </c>
      <c r="G15" s="39" t="s">
        <v>50</v>
      </c>
      <c r="H15" s="40">
        <f>SUM(H4:H14)</f>
        <v>0</v>
      </c>
      <c r="I15" s="39" t="s">
        <v>50</v>
      </c>
      <c r="J15" s="40">
        <f>SUM(J4:J14)</f>
        <v>552.91</v>
      </c>
      <c r="K15" s="11"/>
      <c r="L15" s="11"/>
      <c r="M15" s="11"/>
    </row>
    <row r="16">
      <c r="A16" s="41" t="s">
        <v>51</v>
      </c>
      <c r="B16" s="17"/>
      <c r="C16" s="11"/>
      <c r="D16" s="42"/>
      <c r="E16" s="42"/>
      <c r="F16" s="42"/>
      <c r="G16" s="11"/>
      <c r="H16" s="42"/>
      <c r="I16" s="42"/>
      <c r="J16" s="42"/>
      <c r="K16" s="42"/>
      <c r="L16" s="42"/>
      <c r="M16" s="42"/>
    </row>
    <row r="17">
      <c r="A17" s="29" t="s">
        <v>52</v>
      </c>
      <c r="B17" s="24">
        <v>2239.56</v>
      </c>
      <c r="C17" s="50" t="s">
        <v>69</v>
      </c>
      <c r="D17" s="44" t="s">
        <v>53</v>
      </c>
      <c r="E17" s="17"/>
      <c r="F17" s="18"/>
      <c r="G17" s="45"/>
      <c r="H17" s="46" t="s">
        <v>54</v>
      </c>
      <c r="M17" s="47"/>
    </row>
    <row r="18">
      <c r="A18" s="29" t="s">
        <v>55</v>
      </c>
      <c r="B18" s="24">
        <v>614.59</v>
      </c>
      <c r="C18" s="50" t="s">
        <v>69</v>
      </c>
      <c r="D18" s="51" t="s">
        <v>56</v>
      </c>
      <c r="E18" s="52">
        <v>10300.0</v>
      </c>
      <c r="F18" s="18"/>
      <c r="G18" s="45"/>
      <c r="M18" s="47"/>
    </row>
    <row r="19">
      <c r="A19" s="29" t="s">
        <v>57</v>
      </c>
      <c r="B19" s="24">
        <v>1426.16</v>
      </c>
      <c r="C19" s="55"/>
      <c r="D19" s="56" t="s">
        <v>58</v>
      </c>
      <c r="E19" s="57">
        <v>0.55</v>
      </c>
      <c r="F19" s="58">
        <f>E18*E19</f>
        <v>5665</v>
      </c>
      <c r="G19" s="45"/>
      <c r="M19" s="47"/>
    </row>
    <row r="20">
      <c r="A20" s="68" t="s">
        <v>59</v>
      </c>
      <c r="B20" s="69">
        <v>1884.6</v>
      </c>
      <c r="C20" s="50" t="s">
        <v>69</v>
      </c>
      <c r="D20" s="56" t="s">
        <v>60</v>
      </c>
      <c r="E20" s="60">
        <v>0.0</v>
      </c>
      <c r="F20" s="58">
        <f>E18*E20</f>
        <v>0</v>
      </c>
      <c r="G20" s="45"/>
      <c r="M20" s="47"/>
    </row>
    <row r="21">
      <c r="A21" s="68" t="s">
        <v>61</v>
      </c>
      <c r="B21" s="69">
        <v>1580.39</v>
      </c>
      <c r="C21" s="50"/>
      <c r="D21" s="56" t="s">
        <v>62</v>
      </c>
      <c r="E21" s="60">
        <v>0.35</v>
      </c>
      <c r="F21" s="58">
        <f>E18*E21</f>
        <v>3605</v>
      </c>
      <c r="G21" s="45"/>
      <c r="M21" s="47"/>
    </row>
    <row r="22">
      <c r="A22" s="31"/>
      <c r="B22" s="26"/>
      <c r="C22" s="50"/>
      <c r="D22" s="56" t="s">
        <v>63</v>
      </c>
      <c r="E22" s="57">
        <v>0.1</v>
      </c>
      <c r="F22" s="58">
        <f>E18*E22</f>
        <v>1030</v>
      </c>
      <c r="G22" s="45"/>
      <c r="M22" s="47"/>
    </row>
    <row r="23">
      <c r="A23" s="25"/>
      <c r="B23" s="26"/>
      <c r="C23" s="50"/>
      <c r="D23" s="56" t="s">
        <v>64</v>
      </c>
      <c r="E23" s="60">
        <v>0.0</v>
      </c>
      <c r="F23" s="58">
        <f>E18*E23</f>
        <v>0</v>
      </c>
      <c r="G23" s="45"/>
      <c r="M23" s="47"/>
    </row>
    <row r="24">
      <c r="A24" s="25"/>
      <c r="B24" s="26"/>
      <c r="C24" s="50"/>
      <c r="D24" s="62" t="s">
        <v>65</v>
      </c>
      <c r="E24" s="47"/>
      <c r="F24" s="63">
        <f>SUM(F19:F23)</f>
        <v>10300</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9062.44</v>
      </c>
      <c r="C27" s="11"/>
      <c r="D27" s="11"/>
      <c r="E27" s="11"/>
      <c r="F27" s="11"/>
      <c r="G27" s="45"/>
      <c r="H27" s="17"/>
      <c r="I27" s="17"/>
      <c r="J27" s="17"/>
      <c r="K27" s="17"/>
      <c r="L27" s="17"/>
      <c r="M27" s="18"/>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5" max="5" width="16.0"/>
    <col customWidth="1" min="9" max="9" width="20.43"/>
  </cols>
  <sheetData>
    <row r="1">
      <c r="A1" s="7" t="s">
        <v>23</v>
      </c>
      <c r="B1" s="8">
        <f>F19</f>
        <v>10589.7</v>
      </c>
      <c r="C1" s="7" t="s">
        <v>23</v>
      </c>
      <c r="D1" s="8">
        <f>F20</f>
        <v>0</v>
      </c>
      <c r="E1" s="7" t="s">
        <v>23</v>
      </c>
      <c r="F1" s="8">
        <f>F21</f>
        <v>6738.9</v>
      </c>
      <c r="G1" s="7" t="s">
        <v>23</v>
      </c>
      <c r="H1" s="8">
        <f>F22</f>
        <v>1925.4</v>
      </c>
      <c r="I1" s="7" t="s">
        <v>23</v>
      </c>
      <c r="J1" s="8">
        <f>F23</f>
        <v>0</v>
      </c>
      <c r="K1" s="9" t="s">
        <v>24</v>
      </c>
      <c r="L1" s="10">
        <f t="shared" ref="L1:L2" si="1">SUM(B1,D1,F1,H1,J1)</f>
        <v>19254</v>
      </c>
      <c r="M1" s="11"/>
    </row>
    <row r="2">
      <c r="A2" s="12" t="s">
        <v>25</v>
      </c>
      <c r="B2" s="13">
        <f>B1-B27</f>
        <v>-2138.44</v>
      </c>
      <c r="C2" s="12" t="s">
        <v>25</v>
      </c>
      <c r="D2" s="13">
        <f>D1-D15</f>
        <v>0</v>
      </c>
      <c r="E2" s="12" t="s">
        <v>25</v>
      </c>
      <c r="F2" s="13">
        <f>F1-F15</f>
        <v>6203.9</v>
      </c>
      <c r="G2" s="12" t="s">
        <v>25</v>
      </c>
      <c r="H2" s="13">
        <f>H1-H15</f>
        <v>1925.4</v>
      </c>
      <c r="I2" s="12" t="s">
        <v>25</v>
      </c>
      <c r="J2" s="13">
        <f>J1-J15</f>
        <v>-552.91</v>
      </c>
      <c r="K2" s="14" t="s">
        <v>26</v>
      </c>
      <c r="L2" s="15">
        <f t="shared" si="1"/>
        <v>5437.95</v>
      </c>
      <c r="M2" s="11"/>
    </row>
    <row r="3">
      <c r="A3" s="16" t="s">
        <v>27</v>
      </c>
      <c r="B3" s="17"/>
      <c r="C3" s="16" t="s">
        <v>28</v>
      </c>
      <c r="D3" s="18"/>
      <c r="E3" s="16" t="s">
        <v>29</v>
      </c>
      <c r="F3" s="18"/>
      <c r="G3" s="16" t="s">
        <v>30</v>
      </c>
      <c r="H3" s="18"/>
      <c r="I3" s="16" t="s">
        <v>31</v>
      </c>
      <c r="J3" s="18"/>
      <c r="M3" s="11"/>
    </row>
    <row r="4">
      <c r="A4" s="29" t="s">
        <v>32</v>
      </c>
      <c r="B4" s="24">
        <v>127.0</v>
      </c>
      <c r="C4" s="21"/>
      <c r="D4" s="22"/>
      <c r="E4" s="27" t="s">
        <v>73</v>
      </c>
      <c r="F4" s="20">
        <v>535.0</v>
      </c>
      <c r="G4" s="21"/>
      <c r="H4" s="22"/>
      <c r="I4" s="34" t="s">
        <v>34</v>
      </c>
      <c r="J4" s="24">
        <v>10.62</v>
      </c>
      <c r="K4" s="11"/>
      <c r="L4" s="11"/>
      <c r="M4" s="11"/>
    </row>
    <row r="5">
      <c r="A5" s="29" t="s">
        <v>35</v>
      </c>
      <c r="B5" s="24">
        <v>95.0</v>
      </c>
      <c r="C5" s="25"/>
      <c r="D5" s="26"/>
      <c r="E5" s="21"/>
      <c r="F5" s="23"/>
      <c r="G5" s="25"/>
      <c r="H5" s="26"/>
      <c r="I5" s="34" t="s">
        <v>36</v>
      </c>
      <c r="J5" s="24">
        <v>17.52</v>
      </c>
      <c r="K5" s="11"/>
      <c r="L5" s="11"/>
      <c r="M5" s="11"/>
    </row>
    <row r="6">
      <c r="A6" s="19" t="s">
        <v>37</v>
      </c>
      <c r="B6" s="20">
        <v>139.64</v>
      </c>
      <c r="C6" s="25"/>
      <c r="D6" s="26"/>
      <c r="E6" s="25"/>
      <c r="F6" s="26"/>
      <c r="G6" s="25"/>
      <c r="H6" s="26"/>
      <c r="I6" s="34" t="s">
        <v>38</v>
      </c>
      <c r="J6" s="24">
        <v>34.76</v>
      </c>
      <c r="K6" s="11"/>
      <c r="L6" s="28"/>
      <c r="M6" s="11"/>
    </row>
    <row r="7">
      <c r="A7" s="19" t="s">
        <v>39</v>
      </c>
      <c r="B7" s="24">
        <v>501.0</v>
      </c>
      <c r="C7" s="25"/>
      <c r="D7" s="26"/>
      <c r="E7" s="25"/>
      <c r="F7" s="26"/>
      <c r="G7" s="25"/>
      <c r="H7" s="26"/>
      <c r="I7" s="34" t="s">
        <v>40</v>
      </c>
      <c r="J7" s="24">
        <v>14.9</v>
      </c>
      <c r="K7" s="11"/>
      <c r="L7" s="28"/>
      <c r="M7" s="11"/>
    </row>
    <row r="8">
      <c r="A8" s="25" t="s">
        <v>41</v>
      </c>
      <c r="B8" s="26">
        <v>193.0</v>
      </c>
      <c r="C8" s="25"/>
      <c r="D8" s="26"/>
      <c r="E8" s="31"/>
      <c r="F8" s="26"/>
      <c r="G8" s="25"/>
      <c r="H8" s="26"/>
      <c r="I8" s="34" t="s">
        <v>42</v>
      </c>
      <c r="J8" s="24">
        <v>279.0</v>
      </c>
      <c r="K8" s="28"/>
      <c r="L8" s="28"/>
      <c r="M8" s="11"/>
    </row>
    <row r="9">
      <c r="A9" s="19" t="s">
        <v>43</v>
      </c>
      <c r="B9" s="24">
        <v>261.5</v>
      </c>
      <c r="C9" s="25"/>
      <c r="D9" s="26"/>
      <c r="E9" s="31"/>
      <c r="F9" s="26"/>
      <c r="G9" s="25"/>
      <c r="H9" s="26"/>
      <c r="I9" s="34" t="s">
        <v>44</v>
      </c>
      <c r="J9" s="24">
        <v>11.6</v>
      </c>
      <c r="K9" s="11"/>
      <c r="L9" s="66"/>
      <c r="M9" s="11"/>
    </row>
    <row r="10">
      <c r="A10" s="32"/>
      <c r="B10" s="26"/>
      <c r="C10" s="25"/>
      <c r="D10" s="26"/>
      <c r="E10" s="25"/>
      <c r="F10" s="26"/>
      <c r="G10" s="25"/>
      <c r="H10" s="26"/>
      <c r="I10" s="37" t="s">
        <v>71</v>
      </c>
      <c r="J10" s="26">
        <v>128.0</v>
      </c>
      <c r="K10" s="11"/>
      <c r="L10" s="66"/>
      <c r="M10" s="11"/>
    </row>
    <row r="11">
      <c r="A11" s="21"/>
      <c r="B11" s="26"/>
      <c r="C11" s="31"/>
      <c r="D11" s="26"/>
      <c r="E11" s="31"/>
      <c r="F11" s="26"/>
      <c r="G11" s="31"/>
      <c r="H11" s="26"/>
      <c r="I11" s="34" t="s">
        <v>74</v>
      </c>
      <c r="J11" s="20">
        <v>56.51</v>
      </c>
      <c r="K11" s="11"/>
      <c r="L11" s="66"/>
      <c r="M11" s="11"/>
    </row>
    <row r="12">
      <c r="A12" s="32"/>
      <c r="B12" s="36"/>
      <c r="C12" s="31"/>
      <c r="D12" s="26"/>
      <c r="E12" s="31"/>
      <c r="F12" s="26"/>
      <c r="G12" s="31"/>
      <c r="H12" s="26"/>
      <c r="I12" s="37"/>
      <c r="J12" s="26"/>
      <c r="K12" s="11"/>
      <c r="L12" s="28"/>
      <c r="M12" s="11"/>
    </row>
    <row r="13">
      <c r="A13" s="31"/>
      <c r="B13" s="26"/>
      <c r="C13" s="31"/>
      <c r="D13" s="26"/>
      <c r="E13" s="31"/>
      <c r="F13" s="26"/>
      <c r="G13" s="31"/>
      <c r="H13" s="26"/>
      <c r="I13" s="37"/>
      <c r="J13" s="23"/>
      <c r="K13" s="11"/>
      <c r="L13" s="28"/>
      <c r="M13" s="11"/>
    </row>
    <row r="14">
      <c r="A14" s="31"/>
      <c r="B14" s="26"/>
      <c r="C14" s="31"/>
      <c r="D14" s="26"/>
      <c r="E14" s="31"/>
      <c r="F14" s="26"/>
      <c r="G14" s="31"/>
      <c r="H14" s="26"/>
      <c r="I14" s="37"/>
      <c r="J14" s="26"/>
      <c r="K14" s="11"/>
      <c r="L14" s="11"/>
      <c r="M14" s="11"/>
    </row>
    <row r="15">
      <c r="A15" s="25" t="s">
        <v>49</v>
      </c>
      <c r="B15" s="38">
        <f>SUM(B4:B14)</f>
        <v>1317.14</v>
      </c>
      <c r="C15" s="25" t="s">
        <v>50</v>
      </c>
      <c r="D15" s="26">
        <f>SUM(D4:D14)</f>
        <v>0</v>
      </c>
      <c r="E15" s="39" t="s">
        <v>50</v>
      </c>
      <c r="F15" s="40">
        <f>SUM(F4:F14)</f>
        <v>535</v>
      </c>
      <c r="G15" s="39" t="s">
        <v>50</v>
      </c>
      <c r="H15" s="40">
        <f>SUM(H4:H14)</f>
        <v>0</v>
      </c>
      <c r="I15" s="39" t="s">
        <v>50</v>
      </c>
      <c r="J15" s="40">
        <f>SUM(J4:J14)</f>
        <v>552.91</v>
      </c>
      <c r="K15" s="11"/>
      <c r="L15" s="11"/>
      <c r="M15" s="11"/>
    </row>
    <row r="16">
      <c r="A16" s="41" t="s">
        <v>51</v>
      </c>
      <c r="B16" s="17"/>
      <c r="C16" s="11"/>
      <c r="D16" s="42"/>
      <c r="E16" s="42"/>
      <c r="F16" s="42"/>
      <c r="G16" s="11"/>
      <c r="H16" s="42"/>
      <c r="I16" s="42"/>
      <c r="J16" s="42"/>
      <c r="K16" s="42"/>
      <c r="L16" s="42"/>
      <c r="M16" s="42"/>
    </row>
    <row r="17">
      <c r="A17" s="29" t="s">
        <v>52</v>
      </c>
      <c r="B17" s="20">
        <v>2876.0</v>
      </c>
      <c r="C17" s="50" t="s">
        <v>69</v>
      </c>
      <c r="D17" s="44" t="s">
        <v>53</v>
      </c>
      <c r="E17" s="17"/>
      <c r="F17" s="18"/>
      <c r="G17" s="45"/>
      <c r="H17" s="46" t="s">
        <v>54</v>
      </c>
      <c r="M17" s="47"/>
    </row>
    <row r="18">
      <c r="A18" s="29" t="s">
        <v>55</v>
      </c>
      <c r="B18" s="20">
        <v>764.0</v>
      </c>
      <c r="C18" s="50"/>
      <c r="D18" s="51" t="s">
        <v>56</v>
      </c>
      <c r="E18" s="52">
        <v>19254.0</v>
      </c>
      <c r="F18" s="18"/>
      <c r="G18" s="45"/>
      <c r="M18" s="47"/>
    </row>
    <row r="19">
      <c r="A19" s="29" t="s">
        <v>57</v>
      </c>
      <c r="B19" s="20">
        <v>1281.0</v>
      </c>
      <c r="C19" s="55"/>
      <c r="D19" s="56" t="s">
        <v>58</v>
      </c>
      <c r="E19" s="57">
        <v>0.55</v>
      </c>
      <c r="F19" s="58">
        <f>E18*E19</f>
        <v>10589.7</v>
      </c>
      <c r="G19" s="45"/>
      <c r="M19" s="47"/>
    </row>
    <row r="20">
      <c r="A20" s="29" t="s">
        <v>59</v>
      </c>
      <c r="B20" s="20">
        <v>1451.0</v>
      </c>
      <c r="C20" s="50"/>
      <c r="D20" s="56" t="s">
        <v>60</v>
      </c>
      <c r="E20" s="60">
        <v>0.0</v>
      </c>
      <c r="F20" s="58">
        <f>E18*E20</f>
        <v>0</v>
      </c>
      <c r="G20" s="45"/>
      <c r="M20" s="47"/>
    </row>
    <row r="21">
      <c r="A21" s="29" t="s">
        <v>61</v>
      </c>
      <c r="B21" s="20">
        <v>5039.0</v>
      </c>
      <c r="C21" s="50"/>
      <c r="D21" s="56" t="s">
        <v>62</v>
      </c>
      <c r="E21" s="60">
        <v>0.35</v>
      </c>
      <c r="F21" s="58">
        <f>E18*E21</f>
        <v>6738.9</v>
      </c>
      <c r="G21" s="45"/>
      <c r="M21" s="47"/>
    </row>
    <row r="22">
      <c r="A22" s="31"/>
      <c r="B22" s="26"/>
      <c r="C22" s="50"/>
      <c r="D22" s="56" t="s">
        <v>63</v>
      </c>
      <c r="E22" s="57">
        <v>0.1</v>
      </c>
      <c r="F22" s="58">
        <f>E18*E22</f>
        <v>1925.4</v>
      </c>
      <c r="G22" s="45"/>
      <c r="M22" s="47"/>
    </row>
    <row r="23">
      <c r="A23" s="25"/>
      <c r="B23" s="26"/>
      <c r="C23" s="50"/>
      <c r="D23" s="56" t="s">
        <v>64</v>
      </c>
      <c r="E23" s="60">
        <v>0.0</v>
      </c>
      <c r="F23" s="58">
        <f>E18*E23</f>
        <v>0</v>
      </c>
      <c r="G23" s="45"/>
      <c r="M23" s="47"/>
    </row>
    <row r="24">
      <c r="A24" s="25"/>
      <c r="B24" s="26"/>
      <c r="C24" s="50"/>
      <c r="D24" s="62" t="s">
        <v>65</v>
      </c>
      <c r="E24" s="47"/>
      <c r="F24" s="63">
        <f>SUM(F19:F23)</f>
        <v>19254</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12728.14</v>
      </c>
      <c r="C27" s="11"/>
      <c r="D27" s="11"/>
      <c r="E27" s="11"/>
      <c r="F27" s="11"/>
      <c r="G27" s="45"/>
      <c r="H27" s="17"/>
      <c r="I27" s="17"/>
      <c r="J27" s="17"/>
      <c r="K27" s="17"/>
      <c r="L27" s="17"/>
      <c r="M27" s="18"/>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5" max="5" width="16.0"/>
    <col customWidth="1" min="9" max="9" width="20.43"/>
  </cols>
  <sheetData>
    <row r="1">
      <c r="A1" s="7" t="s">
        <v>23</v>
      </c>
      <c r="B1" s="8">
        <f>F19</f>
        <v>8196.1</v>
      </c>
      <c r="C1" s="7" t="s">
        <v>23</v>
      </c>
      <c r="D1" s="8">
        <f>F20</f>
        <v>0</v>
      </c>
      <c r="E1" s="7" t="s">
        <v>23</v>
      </c>
      <c r="F1" s="8">
        <f>F21</f>
        <v>5215.7</v>
      </c>
      <c r="G1" s="7" t="s">
        <v>23</v>
      </c>
      <c r="H1" s="8">
        <f>F22</f>
        <v>1490.2</v>
      </c>
      <c r="I1" s="7" t="s">
        <v>23</v>
      </c>
      <c r="J1" s="8">
        <f>F23</f>
        <v>0</v>
      </c>
      <c r="K1" s="9" t="s">
        <v>24</v>
      </c>
      <c r="L1" s="10">
        <f t="shared" ref="L1:L2" si="1">SUM(B1,D1,F1,H1,J1)</f>
        <v>14902</v>
      </c>
      <c r="M1" s="11"/>
    </row>
    <row r="2">
      <c r="A2" s="12" t="s">
        <v>25</v>
      </c>
      <c r="B2" s="13">
        <f>B1-B27</f>
        <v>-3381.96</v>
      </c>
      <c r="C2" s="12" t="s">
        <v>25</v>
      </c>
      <c r="D2" s="13">
        <f>D1-D15</f>
        <v>0</v>
      </c>
      <c r="E2" s="12" t="s">
        <v>25</v>
      </c>
      <c r="F2" s="13">
        <f>F1-F15</f>
        <v>5215.7</v>
      </c>
      <c r="G2" s="12" t="s">
        <v>25</v>
      </c>
      <c r="H2" s="13">
        <f>H1-H15</f>
        <v>1490.2</v>
      </c>
      <c r="I2" s="12" t="s">
        <v>25</v>
      </c>
      <c r="J2" s="13">
        <f>J1-J15</f>
        <v>-552.91</v>
      </c>
      <c r="K2" s="14" t="s">
        <v>26</v>
      </c>
      <c r="L2" s="15">
        <f t="shared" si="1"/>
        <v>2771.03</v>
      </c>
      <c r="M2" s="11"/>
    </row>
    <row r="3">
      <c r="A3" s="16" t="s">
        <v>27</v>
      </c>
      <c r="B3" s="17"/>
      <c r="C3" s="16" t="s">
        <v>28</v>
      </c>
      <c r="D3" s="18"/>
      <c r="E3" s="16" t="s">
        <v>29</v>
      </c>
      <c r="F3" s="18"/>
      <c r="G3" s="16" t="s">
        <v>30</v>
      </c>
      <c r="H3" s="18"/>
      <c r="I3" s="16" t="s">
        <v>31</v>
      </c>
      <c r="J3" s="18"/>
      <c r="M3" s="11"/>
    </row>
    <row r="4">
      <c r="A4" s="27" t="s">
        <v>32</v>
      </c>
      <c r="B4" s="70">
        <v>127.0</v>
      </c>
      <c r="C4" s="21"/>
      <c r="D4" s="22"/>
      <c r="E4" s="21"/>
      <c r="F4" s="23"/>
      <c r="G4" s="21"/>
      <c r="H4" s="22"/>
      <c r="I4" s="27" t="s">
        <v>34</v>
      </c>
      <c r="J4" s="70">
        <v>10.62</v>
      </c>
      <c r="K4" s="11"/>
      <c r="L4" s="11"/>
      <c r="M4" s="11"/>
    </row>
    <row r="5">
      <c r="A5" s="19" t="s">
        <v>35</v>
      </c>
      <c r="B5" s="24">
        <v>95.0</v>
      </c>
      <c r="C5" s="25"/>
      <c r="D5" s="26"/>
      <c r="E5" s="25"/>
      <c r="F5" s="26"/>
      <c r="G5" s="25"/>
      <c r="H5" s="26"/>
      <c r="I5" s="19" t="s">
        <v>36</v>
      </c>
      <c r="J5" s="24">
        <v>17.52</v>
      </c>
      <c r="K5" s="11"/>
      <c r="L5" s="11"/>
      <c r="M5" s="11"/>
    </row>
    <row r="6">
      <c r="A6" s="19" t="s">
        <v>37</v>
      </c>
      <c r="B6" s="24">
        <v>139.64</v>
      </c>
      <c r="C6" s="25"/>
      <c r="D6" s="26"/>
      <c r="E6" s="25"/>
      <c r="F6" s="26"/>
      <c r="G6" s="25"/>
      <c r="H6" s="26"/>
      <c r="I6" s="19" t="s">
        <v>38</v>
      </c>
      <c r="J6" s="24">
        <v>34.76</v>
      </c>
      <c r="K6" s="11"/>
      <c r="L6" s="28"/>
      <c r="M6" s="11"/>
    </row>
    <row r="7">
      <c r="A7" s="19" t="s">
        <v>39</v>
      </c>
      <c r="B7" s="24">
        <v>501.0</v>
      </c>
      <c r="C7" s="25"/>
      <c r="D7" s="26"/>
      <c r="E7" s="25"/>
      <c r="F7" s="26"/>
      <c r="G7" s="25"/>
      <c r="H7" s="26"/>
      <c r="I7" s="19" t="s">
        <v>40</v>
      </c>
      <c r="J7" s="24">
        <v>14.9</v>
      </c>
      <c r="K7" s="11"/>
      <c r="L7" s="28"/>
      <c r="M7" s="11"/>
    </row>
    <row r="8">
      <c r="A8" s="19" t="s">
        <v>41</v>
      </c>
      <c r="B8" s="24">
        <v>193.0</v>
      </c>
      <c r="C8" s="25"/>
      <c r="D8" s="26"/>
      <c r="E8" s="31"/>
      <c r="F8" s="26"/>
      <c r="G8" s="25"/>
      <c r="H8" s="26"/>
      <c r="I8" s="19" t="s">
        <v>42</v>
      </c>
      <c r="J8" s="24">
        <v>279.0</v>
      </c>
      <c r="K8" s="28"/>
      <c r="L8" s="28"/>
      <c r="M8" s="11"/>
    </row>
    <row r="9">
      <c r="A9" s="19" t="s">
        <v>43</v>
      </c>
      <c r="B9" s="24">
        <v>261.5</v>
      </c>
      <c r="C9" s="25"/>
      <c r="D9" s="26"/>
      <c r="E9" s="31"/>
      <c r="F9" s="26"/>
      <c r="G9" s="25"/>
      <c r="H9" s="26"/>
      <c r="I9" s="19" t="s">
        <v>44</v>
      </c>
      <c r="J9" s="24">
        <v>11.6</v>
      </c>
      <c r="K9" s="11"/>
      <c r="L9" s="66"/>
      <c r="M9" s="11"/>
    </row>
    <row r="10">
      <c r="A10" s="32"/>
      <c r="B10" s="26"/>
      <c r="C10" s="25"/>
      <c r="D10" s="26"/>
      <c r="E10" s="25"/>
      <c r="F10" s="26"/>
      <c r="G10" s="25"/>
      <c r="H10" s="26"/>
      <c r="I10" s="21" t="s">
        <v>75</v>
      </c>
      <c r="J10" s="26">
        <v>128.0</v>
      </c>
      <c r="K10" s="11"/>
      <c r="L10" s="66"/>
      <c r="M10" s="11"/>
    </row>
    <row r="11">
      <c r="A11" s="21"/>
      <c r="B11" s="26"/>
      <c r="C11" s="31"/>
      <c r="D11" s="26"/>
      <c r="E11" s="31"/>
      <c r="F11" s="26"/>
      <c r="G11" s="31"/>
      <c r="H11" s="26"/>
      <c r="I11" s="27" t="s">
        <v>76</v>
      </c>
      <c r="J11" s="24">
        <v>56.51</v>
      </c>
      <c r="K11" s="11"/>
      <c r="L11" s="66"/>
      <c r="M11" s="11"/>
    </row>
    <row r="12">
      <c r="A12" s="32"/>
      <c r="B12" s="36"/>
      <c r="C12" s="31"/>
      <c r="D12" s="26"/>
      <c r="E12" s="31"/>
      <c r="F12" s="26"/>
      <c r="G12" s="31"/>
      <c r="H12" s="26"/>
      <c r="I12" s="31"/>
      <c r="J12" s="26"/>
      <c r="K12" s="11"/>
      <c r="L12" s="28"/>
      <c r="M12" s="11"/>
    </row>
    <row r="13">
      <c r="A13" s="31"/>
      <c r="B13" s="26"/>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1317.14</v>
      </c>
      <c r="C15" s="25" t="s">
        <v>50</v>
      </c>
      <c r="D15" s="26">
        <f>SUM(D4:D14)</f>
        <v>0</v>
      </c>
      <c r="E15" s="39" t="s">
        <v>50</v>
      </c>
      <c r="F15" s="40">
        <f>SUM(F4:F14)</f>
        <v>0</v>
      </c>
      <c r="G15" s="39" t="s">
        <v>50</v>
      </c>
      <c r="H15" s="40">
        <f>SUM(H4:H14)</f>
        <v>0</v>
      </c>
      <c r="I15" s="39" t="s">
        <v>50</v>
      </c>
      <c r="J15" s="40">
        <f>SUM(J4:J14)</f>
        <v>552.91</v>
      </c>
      <c r="K15" s="11"/>
      <c r="L15" s="11"/>
      <c r="M15" s="11"/>
    </row>
    <row r="16">
      <c r="A16" s="41" t="s">
        <v>51</v>
      </c>
      <c r="B16" s="17"/>
      <c r="C16" s="11"/>
      <c r="D16" s="42"/>
      <c r="E16" s="42"/>
      <c r="F16" s="42"/>
      <c r="G16" s="11"/>
      <c r="H16" s="42"/>
      <c r="I16" s="42"/>
      <c r="J16" s="42"/>
      <c r="K16" s="42"/>
      <c r="L16" s="42"/>
      <c r="M16" s="42"/>
    </row>
    <row r="17">
      <c r="A17" s="29" t="s">
        <v>52</v>
      </c>
      <c r="B17" s="20">
        <v>2923.0</v>
      </c>
      <c r="C17" s="50"/>
      <c r="D17" s="44" t="s">
        <v>53</v>
      </c>
      <c r="E17" s="17"/>
      <c r="F17" s="18"/>
      <c r="G17" s="45"/>
      <c r="H17" s="46" t="s">
        <v>54</v>
      </c>
      <c r="M17" s="47"/>
    </row>
    <row r="18">
      <c r="A18" s="27" t="s">
        <v>55</v>
      </c>
      <c r="B18" s="20">
        <v>720.0</v>
      </c>
      <c r="C18" s="50"/>
      <c r="D18" s="51" t="s">
        <v>56</v>
      </c>
      <c r="E18" s="52">
        <v>14902.0</v>
      </c>
      <c r="F18" s="18"/>
      <c r="G18" s="45"/>
      <c r="M18" s="47"/>
    </row>
    <row r="19">
      <c r="A19" s="29" t="s">
        <v>57</v>
      </c>
      <c r="B19" s="30">
        <v>1401.0</v>
      </c>
      <c r="C19" s="55"/>
      <c r="D19" s="56" t="s">
        <v>58</v>
      </c>
      <c r="E19" s="57">
        <v>0.55</v>
      </c>
      <c r="F19" s="58">
        <f>E18*E19</f>
        <v>8196.1</v>
      </c>
      <c r="G19" s="45"/>
      <c r="M19" s="47"/>
    </row>
    <row r="20">
      <c r="A20" s="29" t="s">
        <v>59</v>
      </c>
      <c r="B20" s="20">
        <v>813.92</v>
      </c>
      <c r="C20" s="50"/>
      <c r="D20" s="56" t="s">
        <v>60</v>
      </c>
      <c r="E20" s="60">
        <v>0.0</v>
      </c>
      <c r="F20" s="58">
        <f>E18*E20</f>
        <v>0</v>
      </c>
      <c r="G20" s="45"/>
      <c r="M20" s="47"/>
    </row>
    <row r="21">
      <c r="A21" s="19" t="s">
        <v>61</v>
      </c>
      <c r="B21" s="20">
        <v>4403.0</v>
      </c>
      <c r="C21" s="50"/>
      <c r="D21" s="56" t="s">
        <v>62</v>
      </c>
      <c r="E21" s="60">
        <v>0.35</v>
      </c>
      <c r="F21" s="58">
        <f>E18*E21</f>
        <v>5215.7</v>
      </c>
      <c r="G21" s="45"/>
      <c r="M21" s="47"/>
    </row>
    <row r="22">
      <c r="A22" s="25"/>
      <c r="B22" s="26"/>
      <c r="C22" s="50"/>
      <c r="D22" s="56" t="s">
        <v>63</v>
      </c>
      <c r="E22" s="57">
        <v>0.1</v>
      </c>
      <c r="F22" s="58">
        <f>E18*E22</f>
        <v>1490.2</v>
      </c>
      <c r="G22" s="45"/>
      <c r="M22" s="47"/>
    </row>
    <row r="23">
      <c r="A23" s="25"/>
      <c r="B23" s="26"/>
      <c r="C23" s="50"/>
      <c r="D23" s="56" t="s">
        <v>64</v>
      </c>
      <c r="E23" s="60">
        <v>0.0</v>
      </c>
      <c r="F23" s="58">
        <f>E18*E23</f>
        <v>0</v>
      </c>
      <c r="G23" s="45"/>
      <c r="M23" s="47"/>
    </row>
    <row r="24">
      <c r="A24" s="25"/>
      <c r="B24" s="26"/>
      <c r="C24" s="50"/>
      <c r="D24" s="62" t="s">
        <v>65</v>
      </c>
      <c r="E24" s="47"/>
      <c r="F24" s="63">
        <f>SUM(F19:F23)</f>
        <v>14902</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11578.06</v>
      </c>
      <c r="C27" s="11"/>
      <c r="D27" s="11"/>
      <c r="E27" s="11"/>
      <c r="F27" s="11"/>
      <c r="G27" s="45"/>
      <c r="H27" s="17"/>
      <c r="I27" s="17"/>
      <c r="J27" s="17"/>
      <c r="K27" s="17"/>
      <c r="L27" s="17"/>
      <c r="M27" s="18"/>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16.0"/>
    <col customWidth="1" min="9" max="9" width="20.43"/>
  </cols>
  <sheetData>
    <row r="1">
      <c r="A1" s="7" t="s">
        <v>23</v>
      </c>
      <c r="B1" s="8">
        <f>F19</f>
        <v>4950</v>
      </c>
      <c r="C1" s="7" t="s">
        <v>23</v>
      </c>
      <c r="D1" s="8">
        <f>F20</f>
        <v>450</v>
      </c>
      <c r="E1" s="7" t="s">
        <v>23</v>
      </c>
      <c r="F1" s="8">
        <f>F21</f>
        <v>3150</v>
      </c>
      <c r="G1" s="7" t="s">
        <v>23</v>
      </c>
      <c r="H1" s="8">
        <f>F22</f>
        <v>900</v>
      </c>
      <c r="I1" s="7" t="s">
        <v>23</v>
      </c>
      <c r="J1" s="8">
        <f>F23</f>
        <v>0</v>
      </c>
      <c r="K1" s="9" t="s">
        <v>24</v>
      </c>
      <c r="L1" s="10">
        <f t="shared" ref="L1:L2" si="1">SUM(B1,D1,F1,H1,J1)</f>
        <v>9450</v>
      </c>
      <c r="M1" s="11"/>
    </row>
    <row r="2">
      <c r="A2" s="12" t="s">
        <v>25</v>
      </c>
      <c r="B2" s="13">
        <f>B1-B27</f>
        <v>-6949.2</v>
      </c>
      <c r="C2" s="12" t="s">
        <v>25</v>
      </c>
      <c r="D2" s="13">
        <f>D1-D15</f>
        <v>3.95</v>
      </c>
      <c r="E2" s="12" t="s">
        <v>25</v>
      </c>
      <c r="F2" s="13">
        <f>F1-F15</f>
        <v>3150</v>
      </c>
      <c r="G2" s="12" t="s">
        <v>25</v>
      </c>
      <c r="H2" s="13">
        <f>H1-H15</f>
        <v>900</v>
      </c>
      <c r="I2" s="12" t="s">
        <v>25</v>
      </c>
      <c r="J2" s="13">
        <f>J1-J15</f>
        <v>0</v>
      </c>
      <c r="K2" s="14" t="s">
        <v>26</v>
      </c>
      <c r="L2" s="15">
        <f t="shared" si="1"/>
        <v>-2895.25</v>
      </c>
      <c r="M2" s="11"/>
    </row>
    <row r="3">
      <c r="A3" s="16" t="s">
        <v>27</v>
      </c>
      <c r="B3" s="17"/>
      <c r="C3" s="71" t="s">
        <v>77</v>
      </c>
      <c r="D3" s="18"/>
      <c r="E3" s="16" t="s">
        <v>29</v>
      </c>
      <c r="F3" s="18"/>
      <c r="G3" s="16" t="s">
        <v>30</v>
      </c>
      <c r="H3" s="18"/>
      <c r="I3" s="16" t="s">
        <v>31</v>
      </c>
      <c r="J3" s="18"/>
      <c r="M3" s="11"/>
    </row>
    <row r="4">
      <c r="A4" s="27" t="s">
        <v>32</v>
      </c>
      <c r="B4" s="24">
        <v>127.0</v>
      </c>
      <c r="C4" s="29" t="s">
        <v>34</v>
      </c>
      <c r="D4" s="72">
        <v>10.62</v>
      </c>
      <c r="E4" s="21"/>
      <c r="F4" s="23"/>
      <c r="G4" s="21"/>
      <c r="H4" s="22"/>
      <c r="I4" s="25"/>
      <c r="J4" s="26"/>
      <c r="K4" s="11"/>
      <c r="L4" s="11"/>
      <c r="M4" s="11"/>
    </row>
    <row r="5">
      <c r="A5" s="29" t="s">
        <v>35</v>
      </c>
      <c r="B5" s="72">
        <v>95.0</v>
      </c>
      <c r="C5" s="29" t="s">
        <v>36</v>
      </c>
      <c r="D5" s="72">
        <v>17.52</v>
      </c>
      <c r="E5" s="25"/>
      <c r="F5" s="26"/>
      <c r="G5" s="25"/>
      <c r="H5" s="26"/>
      <c r="I5" s="25"/>
      <c r="J5" s="26"/>
      <c r="K5" s="11"/>
      <c r="L5" s="11"/>
      <c r="M5" s="11"/>
    </row>
    <row r="6">
      <c r="A6" s="27" t="s">
        <v>37</v>
      </c>
      <c r="B6" s="24">
        <v>139.64</v>
      </c>
      <c r="C6" s="29" t="s">
        <v>38</v>
      </c>
      <c r="D6" s="30">
        <v>55.9</v>
      </c>
      <c r="E6" s="25"/>
      <c r="F6" s="26"/>
      <c r="G6" s="25"/>
      <c r="H6" s="26"/>
      <c r="I6" s="25"/>
      <c r="J6" s="26"/>
      <c r="K6" s="11"/>
      <c r="L6" s="28"/>
      <c r="M6" s="11"/>
    </row>
    <row r="7">
      <c r="A7" s="29" t="s">
        <v>39</v>
      </c>
      <c r="B7" s="30">
        <v>786.0</v>
      </c>
      <c r="C7" s="29" t="s">
        <v>40</v>
      </c>
      <c r="D7" s="72">
        <v>14.9</v>
      </c>
      <c r="E7" s="25"/>
      <c r="F7" s="26"/>
      <c r="G7" s="25"/>
      <c r="H7" s="26"/>
      <c r="I7" s="25"/>
      <c r="J7" s="26"/>
      <c r="K7" s="11"/>
      <c r="L7" s="28"/>
      <c r="M7" s="11"/>
    </row>
    <row r="8">
      <c r="A8" s="27" t="s">
        <v>41</v>
      </c>
      <c r="B8" s="24">
        <v>193.0</v>
      </c>
      <c r="C8" s="29" t="s">
        <v>42</v>
      </c>
      <c r="D8" s="72">
        <v>279.0</v>
      </c>
      <c r="E8" s="31"/>
      <c r="F8" s="26"/>
      <c r="G8" s="25"/>
      <c r="H8" s="26"/>
      <c r="I8" s="25"/>
      <c r="J8" s="26"/>
      <c r="K8" s="28"/>
      <c r="L8" s="28"/>
      <c r="M8" s="11"/>
    </row>
    <row r="9">
      <c r="A9" s="29" t="s">
        <v>43</v>
      </c>
      <c r="B9" s="72">
        <v>261.5</v>
      </c>
      <c r="C9" s="29" t="s">
        <v>44</v>
      </c>
      <c r="D9" s="72">
        <v>11.6</v>
      </c>
      <c r="E9" s="31"/>
      <c r="F9" s="26"/>
      <c r="G9" s="25"/>
      <c r="H9" s="26"/>
      <c r="I9" s="25"/>
      <c r="J9" s="26"/>
      <c r="K9" s="11"/>
      <c r="L9" s="66"/>
      <c r="M9" s="11"/>
    </row>
    <row r="10">
      <c r="A10" s="32"/>
      <c r="B10" s="26"/>
      <c r="C10" s="73" t="s">
        <v>78</v>
      </c>
      <c r="D10" s="72">
        <v>56.51</v>
      </c>
      <c r="E10" s="25"/>
      <c r="F10" s="26"/>
      <c r="G10" s="25"/>
      <c r="H10" s="26"/>
      <c r="I10" s="25"/>
      <c r="J10" s="26"/>
      <c r="K10" s="11"/>
      <c r="L10" s="66"/>
      <c r="M10" s="11"/>
    </row>
    <row r="11">
      <c r="A11" s="21"/>
      <c r="B11" s="26"/>
      <c r="C11" s="32"/>
      <c r="D11" s="36"/>
      <c r="E11" s="31"/>
      <c r="F11" s="26"/>
      <c r="G11" s="31"/>
      <c r="H11" s="26"/>
      <c r="I11" s="25"/>
      <c r="J11" s="26"/>
      <c r="K11" s="11"/>
      <c r="L11" s="66"/>
      <c r="M11" s="11"/>
    </row>
    <row r="12">
      <c r="A12" s="32"/>
      <c r="B12" s="36"/>
      <c r="C12" s="31"/>
      <c r="D12" s="26"/>
      <c r="E12" s="31"/>
      <c r="F12" s="26"/>
      <c r="G12" s="31"/>
      <c r="H12" s="26"/>
      <c r="I12" s="31"/>
      <c r="J12" s="26"/>
      <c r="K12" s="11"/>
      <c r="L12" s="28"/>
      <c r="M12" s="11"/>
    </row>
    <row r="13">
      <c r="A13" s="31"/>
      <c r="B13" s="26"/>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1602.14</v>
      </c>
      <c r="C15" s="25" t="s">
        <v>50</v>
      </c>
      <c r="D15" s="26">
        <f>SUM(D4:D14)</f>
        <v>446.05</v>
      </c>
      <c r="E15" s="39" t="s">
        <v>50</v>
      </c>
      <c r="F15" s="40">
        <f>SUM(F4:F14)</f>
        <v>0</v>
      </c>
      <c r="G15" s="39" t="s">
        <v>50</v>
      </c>
      <c r="H15" s="40">
        <f>SUM(H4:H14)</f>
        <v>0</v>
      </c>
      <c r="I15" s="39" t="s">
        <v>50</v>
      </c>
      <c r="J15" s="40">
        <f>SUM(J4:J14)</f>
        <v>0</v>
      </c>
      <c r="K15" s="11"/>
      <c r="L15" s="11"/>
      <c r="M15" s="11"/>
    </row>
    <row r="16">
      <c r="A16" s="41" t="s">
        <v>51</v>
      </c>
      <c r="B16" s="17"/>
      <c r="C16" s="11"/>
      <c r="D16" s="42"/>
      <c r="E16" s="42"/>
      <c r="F16" s="42"/>
      <c r="G16" s="11"/>
      <c r="H16" s="42"/>
      <c r="I16" s="42"/>
      <c r="J16" s="42"/>
      <c r="K16" s="42"/>
      <c r="L16" s="42"/>
      <c r="M16" s="42"/>
    </row>
    <row r="17">
      <c r="A17" s="29" t="s">
        <v>52</v>
      </c>
      <c r="B17" s="72">
        <v>1945.0</v>
      </c>
      <c r="C17" s="50"/>
      <c r="D17" s="44" t="s">
        <v>53</v>
      </c>
      <c r="E17" s="17"/>
      <c r="F17" s="18"/>
      <c r="G17" s="45"/>
      <c r="H17" s="46" t="s">
        <v>54</v>
      </c>
      <c r="M17" s="47"/>
    </row>
    <row r="18">
      <c r="A18" s="29" t="s">
        <v>55</v>
      </c>
      <c r="B18" s="72">
        <v>1010.19</v>
      </c>
      <c r="C18" s="50"/>
      <c r="D18" s="51" t="s">
        <v>56</v>
      </c>
      <c r="E18" s="52">
        <v>9000.0</v>
      </c>
      <c r="F18" s="18"/>
      <c r="G18" s="45"/>
      <c r="M18" s="47"/>
    </row>
    <row r="19">
      <c r="A19" s="29" t="s">
        <v>57</v>
      </c>
      <c r="B19" s="72">
        <v>949.02</v>
      </c>
      <c r="C19" s="55"/>
      <c r="D19" s="56" t="s">
        <v>58</v>
      </c>
      <c r="E19" s="57">
        <v>0.55</v>
      </c>
      <c r="F19" s="58">
        <f>E18*E19</f>
        <v>4950</v>
      </c>
      <c r="G19" s="45"/>
      <c r="M19" s="47"/>
    </row>
    <row r="20">
      <c r="A20" s="29" t="s">
        <v>59</v>
      </c>
      <c r="B20" s="72">
        <v>936.82</v>
      </c>
      <c r="C20" s="50"/>
      <c r="D20" s="74" t="s">
        <v>79</v>
      </c>
      <c r="E20" s="60">
        <v>0.05</v>
      </c>
      <c r="F20" s="58">
        <f>E18*E20</f>
        <v>450</v>
      </c>
      <c r="G20" s="45"/>
      <c r="M20" s="47"/>
    </row>
    <row r="21">
      <c r="A21" s="29" t="s">
        <v>61</v>
      </c>
      <c r="B21" s="30">
        <v>5456.03</v>
      </c>
      <c r="C21" s="75"/>
      <c r="D21" s="56" t="s">
        <v>62</v>
      </c>
      <c r="E21" s="60">
        <v>0.35</v>
      </c>
      <c r="F21" s="58">
        <f>E18*E21</f>
        <v>3150</v>
      </c>
      <c r="G21" s="45"/>
      <c r="M21" s="47"/>
    </row>
    <row r="22">
      <c r="A22" s="25"/>
      <c r="B22" s="26"/>
      <c r="C22" s="50"/>
      <c r="D22" s="56" t="s">
        <v>63</v>
      </c>
      <c r="E22" s="57">
        <v>0.1</v>
      </c>
      <c r="F22" s="58">
        <f>E18*E22</f>
        <v>900</v>
      </c>
      <c r="G22" s="45"/>
      <c r="M22" s="47"/>
    </row>
    <row r="23">
      <c r="A23" s="25"/>
      <c r="B23" s="26"/>
      <c r="C23" s="50"/>
      <c r="D23" s="56" t="s">
        <v>64</v>
      </c>
      <c r="E23" s="60">
        <v>0.0</v>
      </c>
      <c r="F23" s="58">
        <f>E18*E23</f>
        <v>0</v>
      </c>
      <c r="G23" s="45"/>
      <c r="M23" s="47"/>
    </row>
    <row r="24">
      <c r="A24" s="25"/>
      <c r="B24" s="26"/>
      <c r="C24" s="50"/>
      <c r="D24" s="62" t="s">
        <v>65</v>
      </c>
      <c r="E24" s="47"/>
      <c r="F24" s="63">
        <f>SUM(F19:F23)</f>
        <v>9450</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11899.2</v>
      </c>
      <c r="C27" s="11"/>
      <c r="D27" s="11"/>
      <c r="E27" s="11"/>
      <c r="F27" s="11"/>
      <c r="G27" s="45"/>
      <c r="H27" s="17"/>
      <c r="I27" s="17"/>
      <c r="J27" s="17"/>
      <c r="K27" s="17"/>
      <c r="L27" s="17"/>
      <c r="M27" s="18"/>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7.29"/>
    <col customWidth="1" min="9" max="9" width="20.43"/>
  </cols>
  <sheetData>
    <row r="1">
      <c r="A1" s="7" t="s">
        <v>23</v>
      </c>
      <c r="B1" s="8">
        <f>F19</f>
        <v>16228.3</v>
      </c>
      <c r="C1" s="7" t="s">
        <v>23</v>
      </c>
      <c r="D1" s="8">
        <f>F20</f>
        <v>1475.3</v>
      </c>
      <c r="E1" s="7" t="s">
        <v>23</v>
      </c>
      <c r="F1" s="8">
        <f>F21</f>
        <v>5901.2</v>
      </c>
      <c r="G1" s="7" t="s">
        <v>23</v>
      </c>
      <c r="H1" s="8">
        <f>F22</f>
        <v>2950.6</v>
      </c>
      <c r="I1" s="7" t="s">
        <v>23</v>
      </c>
      <c r="J1" s="8">
        <f>F23</f>
        <v>2950.6</v>
      </c>
      <c r="K1" s="9" t="s">
        <v>24</v>
      </c>
      <c r="L1" s="10">
        <f t="shared" ref="L1:L2" si="1">SUM(B1,D1,F1,H1,J1)</f>
        <v>29506</v>
      </c>
      <c r="M1" s="11"/>
    </row>
    <row r="2">
      <c r="A2" s="12" t="s">
        <v>25</v>
      </c>
      <c r="B2" s="13">
        <f>B1-B27</f>
        <v>-189.78</v>
      </c>
      <c r="C2" s="12" t="s">
        <v>25</v>
      </c>
      <c r="D2" s="13">
        <f>D1-D15</f>
        <v>821.94</v>
      </c>
      <c r="E2" s="12" t="s">
        <v>25</v>
      </c>
      <c r="F2" s="13">
        <f>F1-F15</f>
        <v>-247.8</v>
      </c>
      <c r="G2" s="12" t="s">
        <v>25</v>
      </c>
      <c r="H2" s="13">
        <f>H1-H15</f>
        <v>2950.6</v>
      </c>
      <c r="I2" s="12" t="s">
        <v>25</v>
      </c>
      <c r="J2" s="13">
        <f>J1-J15</f>
        <v>2950.6</v>
      </c>
      <c r="K2" s="14" t="s">
        <v>26</v>
      </c>
      <c r="L2" s="15">
        <f t="shared" si="1"/>
        <v>6285.56</v>
      </c>
      <c r="M2" s="11"/>
    </row>
    <row r="3">
      <c r="A3" s="16" t="s">
        <v>27</v>
      </c>
      <c r="B3" s="17"/>
      <c r="C3" s="71" t="s">
        <v>77</v>
      </c>
      <c r="D3" s="18"/>
      <c r="E3" s="71" t="s">
        <v>80</v>
      </c>
      <c r="F3" s="18"/>
      <c r="G3" s="16" t="s">
        <v>30</v>
      </c>
      <c r="H3" s="18"/>
      <c r="I3" s="16" t="s">
        <v>31</v>
      </c>
      <c r="J3" s="18"/>
      <c r="M3" s="11"/>
    </row>
    <row r="4">
      <c r="A4" s="27" t="s">
        <v>32</v>
      </c>
      <c r="B4" s="20">
        <v>127.0</v>
      </c>
      <c r="C4" s="27" t="s">
        <v>34</v>
      </c>
      <c r="D4" s="20">
        <v>10.62</v>
      </c>
      <c r="E4" s="27" t="s">
        <v>81</v>
      </c>
      <c r="F4" s="20">
        <v>4498.0</v>
      </c>
      <c r="G4" s="21"/>
      <c r="H4" s="22"/>
      <c r="I4" s="25"/>
      <c r="J4" s="26"/>
      <c r="K4" s="11"/>
      <c r="L4" s="11"/>
      <c r="M4" s="11"/>
    </row>
    <row r="5">
      <c r="A5" s="27" t="s">
        <v>35</v>
      </c>
      <c r="B5" s="20">
        <v>95.0</v>
      </c>
      <c r="C5" s="27" t="s">
        <v>36</v>
      </c>
      <c r="D5" s="20">
        <v>17.52</v>
      </c>
      <c r="E5" s="27" t="s">
        <v>82</v>
      </c>
      <c r="F5" s="20">
        <v>1282.0</v>
      </c>
      <c r="G5" s="25"/>
      <c r="H5" s="26"/>
      <c r="I5" s="25"/>
      <c r="J5" s="26"/>
      <c r="K5" s="11"/>
      <c r="L5" s="11"/>
      <c r="M5" s="11"/>
    </row>
    <row r="6">
      <c r="A6" s="27" t="s">
        <v>37</v>
      </c>
      <c r="B6" s="20">
        <v>139.64</v>
      </c>
      <c r="C6" s="27" t="s">
        <v>38</v>
      </c>
      <c r="D6" s="20">
        <v>55.9</v>
      </c>
      <c r="E6" s="27" t="s">
        <v>83</v>
      </c>
      <c r="F6" s="20">
        <v>369.0</v>
      </c>
      <c r="G6" s="25"/>
      <c r="H6" s="26"/>
      <c r="I6" s="25"/>
      <c r="J6" s="26"/>
      <c r="K6" s="11"/>
      <c r="L6" s="28"/>
      <c r="M6" s="11"/>
    </row>
    <row r="7">
      <c r="A7" s="27" t="s">
        <v>39</v>
      </c>
      <c r="B7" s="20">
        <v>786.23</v>
      </c>
      <c r="C7" s="27" t="s">
        <v>40</v>
      </c>
      <c r="D7" s="20">
        <v>14.9</v>
      </c>
      <c r="E7" s="25"/>
      <c r="F7" s="26"/>
      <c r="G7" s="25"/>
      <c r="H7" s="26"/>
      <c r="I7" s="25"/>
      <c r="J7" s="26"/>
      <c r="K7" s="11"/>
      <c r="L7" s="28"/>
      <c r="M7" s="11"/>
    </row>
    <row r="8">
      <c r="A8" s="27" t="s">
        <v>41</v>
      </c>
      <c r="B8" s="20">
        <v>197.45</v>
      </c>
      <c r="C8" s="27" t="s">
        <v>42</v>
      </c>
      <c r="D8" s="20">
        <v>279.0</v>
      </c>
      <c r="E8" s="31"/>
      <c r="F8" s="26"/>
      <c r="G8" s="25"/>
      <c r="H8" s="26"/>
      <c r="I8" s="25"/>
      <c r="J8" s="26"/>
      <c r="K8" s="28"/>
      <c r="L8" s="28"/>
      <c r="M8" s="11"/>
    </row>
    <row r="9">
      <c r="A9" s="27" t="s">
        <v>43</v>
      </c>
      <c r="B9" s="20">
        <v>261.5</v>
      </c>
      <c r="C9" s="27" t="s">
        <v>44</v>
      </c>
      <c r="D9" s="20">
        <v>11.6</v>
      </c>
      <c r="E9" s="31"/>
      <c r="F9" s="26"/>
      <c r="G9" s="25"/>
      <c r="H9" s="26"/>
      <c r="I9" s="25"/>
      <c r="J9" s="26"/>
      <c r="K9" s="11"/>
      <c r="L9" s="66"/>
      <c r="M9" s="11"/>
    </row>
    <row r="10">
      <c r="A10" s="76"/>
      <c r="B10" s="23"/>
      <c r="C10" s="27" t="s">
        <v>84</v>
      </c>
      <c r="D10" s="20">
        <v>263.82</v>
      </c>
      <c r="E10" s="25"/>
      <c r="F10" s="26"/>
      <c r="G10" s="25"/>
      <c r="H10" s="26"/>
      <c r="I10" s="25"/>
      <c r="J10" s="26"/>
      <c r="K10" s="11"/>
      <c r="L10" s="66"/>
      <c r="M10" s="11"/>
    </row>
    <row r="11">
      <c r="A11" s="21"/>
      <c r="B11" s="26"/>
      <c r="C11" s="21"/>
      <c r="D11" s="23"/>
      <c r="E11" s="31"/>
      <c r="F11" s="26"/>
      <c r="G11" s="31"/>
      <c r="H11" s="26"/>
      <c r="I11" s="25"/>
      <c r="J11" s="26"/>
      <c r="K11" s="11"/>
      <c r="L11" s="66"/>
      <c r="M11" s="11"/>
    </row>
    <row r="12">
      <c r="A12" s="32"/>
      <c r="B12" s="36"/>
      <c r="C12" s="21"/>
      <c r="D12" s="23"/>
      <c r="E12" s="31"/>
      <c r="F12" s="26"/>
      <c r="G12" s="31"/>
      <c r="H12" s="26"/>
      <c r="I12" s="31"/>
      <c r="J12" s="26"/>
      <c r="K12" s="11"/>
      <c r="L12" s="28"/>
      <c r="M12" s="11"/>
    </row>
    <row r="13">
      <c r="A13" s="31"/>
      <c r="B13" s="26"/>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1606.82</v>
      </c>
      <c r="C15" s="25" t="s">
        <v>50</v>
      </c>
      <c r="D15" s="26">
        <f>SUM(D4:D14)</f>
        <v>653.36</v>
      </c>
      <c r="E15" s="39" t="s">
        <v>50</v>
      </c>
      <c r="F15" s="40">
        <f>SUM(F4:F14)</f>
        <v>6149</v>
      </c>
      <c r="G15" s="39" t="s">
        <v>50</v>
      </c>
      <c r="H15" s="40">
        <f>SUM(H4:H14)</f>
        <v>0</v>
      </c>
      <c r="I15" s="39" t="s">
        <v>50</v>
      </c>
      <c r="J15" s="40">
        <f>SUM(J4:J14)</f>
        <v>0</v>
      </c>
      <c r="K15" s="11"/>
      <c r="L15" s="11"/>
      <c r="M15" s="11"/>
    </row>
    <row r="16">
      <c r="A16" s="77" t="s">
        <v>85</v>
      </c>
      <c r="B16" s="17"/>
      <c r="C16" s="11"/>
      <c r="D16" s="42"/>
      <c r="E16" s="42"/>
      <c r="F16" s="42"/>
      <c r="G16" s="11"/>
      <c r="H16" s="42"/>
      <c r="I16" s="42"/>
      <c r="J16" s="42"/>
      <c r="K16" s="42"/>
      <c r="L16" s="42"/>
      <c r="M16" s="42"/>
    </row>
    <row r="17">
      <c r="A17" s="27" t="s">
        <v>52</v>
      </c>
      <c r="B17" s="20">
        <v>1870.65</v>
      </c>
      <c r="C17" s="50"/>
      <c r="D17" s="44" t="s">
        <v>53</v>
      </c>
      <c r="E17" s="17"/>
      <c r="F17" s="18"/>
      <c r="G17" s="45"/>
      <c r="H17" s="46" t="s">
        <v>86</v>
      </c>
      <c r="M17" s="47"/>
    </row>
    <row r="18">
      <c r="A18" s="27" t="s">
        <v>55</v>
      </c>
      <c r="B18" s="20">
        <v>1437.88</v>
      </c>
      <c r="C18" s="50"/>
      <c r="D18" s="51" t="s">
        <v>56</v>
      </c>
      <c r="E18" s="52">
        <v>29506.0</v>
      </c>
      <c r="F18" s="18"/>
      <c r="G18" s="45"/>
      <c r="M18" s="47"/>
    </row>
    <row r="19">
      <c r="A19" s="27" t="s">
        <v>57</v>
      </c>
      <c r="B19" s="20">
        <v>876.03</v>
      </c>
      <c r="C19" s="55"/>
      <c r="D19" s="56" t="s">
        <v>58</v>
      </c>
      <c r="E19" s="57">
        <v>0.55</v>
      </c>
      <c r="F19" s="58">
        <f>E18*E19</f>
        <v>16228.3</v>
      </c>
      <c r="G19" s="45"/>
      <c r="M19" s="47"/>
    </row>
    <row r="20">
      <c r="A20" s="27" t="s">
        <v>59</v>
      </c>
      <c r="B20" s="20">
        <v>1274.7</v>
      </c>
      <c r="C20" s="50"/>
      <c r="D20" s="74" t="s">
        <v>79</v>
      </c>
      <c r="E20" s="60">
        <v>0.05</v>
      </c>
      <c r="F20" s="58">
        <f>E18*E20</f>
        <v>1475.3</v>
      </c>
      <c r="G20" s="45"/>
      <c r="M20" s="47"/>
    </row>
    <row r="21">
      <c r="A21" s="27" t="s">
        <v>61</v>
      </c>
      <c r="B21" s="20">
        <v>4671.0</v>
      </c>
      <c r="C21" s="50"/>
      <c r="D21" s="74" t="s">
        <v>87</v>
      </c>
      <c r="E21" s="60">
        <v>0.2</v>
      </c>
      <c r="F21" s="58">
        <f>E18*E21</f>
        <v>5901.2</v>
      </c>
      <c r="G21" s="45"/>
      <c r="M21" s="47"/>
    </row>
    <row r="22">
      <c r="A22" s="27" t="s">
        <v>88</v>
      </c>
      <c r="B22" s="20">
        <v>3082.0</v>
      </c>
      <c r="C22" s="50"/>
      <c r="D22" s="56" t="s">
        <v>63</v>
      </c>
      <c r="E22" s="57">
        <v>0.1</v>
      </c>
      <c r="F22" s="58">
        <f>E18*E22</f>
        <v>2950.6</v>
      </c>
      <c r="G22" s="45"/>
      <c r="M22" s="47"/>
    </row>
    <row r="23">
      <c r="A23" s="27" t="s">
        <v>89</v>
      </c>
      <c r="B23" s="20">
        <v>1599.0</v>
      </c>
      <c r="C23" s="50"/>
      <c r="D23" s="56" t="s">
        <v>64</v>
      </c>
      <c r="E23" s="60">
        <v>0.1</v>
      </c>
      <c r="F23" s="58">
        <f>E18*E23</f>
        <v>2950.6</v>
      </c>
      <c r="G23" s="45"/>
      <c r="M23" s="47"/>
    </row>
    <row r="24">
      <c r="A24" s="25"/>
      <c r="B24" s="26"/>
      <c r="C24" s="50"/>
      <c r="D24" s="62" t="s">
        <v>65</v>
      </c>
      <c r="E24" s="47"/>
      <c r="F24" s="63">
        <f>SUM(F19:F23)</f>
        <v>29506</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16418.08</v>
      </c>
      <c r="C27" s="11"/>
      <c r="D27" s="11"/>
      <c r="E27" s="11"/>
      <c r="F27" s="11"/>
      <c r="G27" s="45"/>
      <c r="H27" s="17"/>
      <c r="I27" s="17"/>
      <c r="J27" s="17"/>
      <c r="K27" s="17"/>
      <c r="L27" s="17"/>
      <c r="M27" s="18"/>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32.71"/>
    <col customWidth="1" min="9" max="9" width="20.43"/>
  </cols>
  <sheetData>
    <row r="1">
      <c r="A1" s="7" t="s">
        <v>23</v>
      </c>
      <c r="B1" s="8">
        <f>F19</f>
        <v>13750</v>
      </c>
      <c r="C1" s="7" t="s">
        <v>23</v>
      </c>
      <c r="D1" s="8">
        <f>F20</f>
        <v>1250</v>
      </c>
      <c r="E1" s="7" t="s">
        <v>23</v>
      </c>
      <c r="F1" s="8">
        <f>F21</f>
        <v>5000</v>
      </c>
      <c r="G1" s="7" t="s">
        <v>23</v>
      </c>
      <c r="H1" s="8">
        <f>F22</f>
        <v>2500</v>
      </c>
      <c r="I1" s="7" t="s">
        <v>23</v>
      </c>
      <c r="J1" s="8">
        <f>F23</f>
        <v>2500</v>
      </c>
      <c r="K1" s="9" t="s">
        <v>24</v>
      </c>
      <c r="L1" s="10">
        <f t="shared" ref="L1:L2" si="1">SUM(B1,D1,F1,H1,J1)</f>
        <v>25000</v>
      </c>
      <c r="M1" s="11"/>
    </row>
    <row r="2">
      <c r="A2" s="12" t="s">
        <v>25</v>
      </c>
      <c r="B2" s="13">
        <f>B1-B27</f>
        <v>1468.68</v>
      </c>
      <c r="C2" s="12" t="s">
        <v>25</v>
      </c>
      <c r="D2" s="13">
        <f>D1-D15</f>
        <v>600.67</v>
      </c>
      <c r="E2" s="12" t="s">
        <v>25</v>
      </c>
      <c r="F2" s="13">
        <f>F1-F15</f>
        <v>3348</v>
      </c>
      <c r="G2" s="12" t="s">
        <v>25</v>
      </c>
      <c r="H2" s="13">
        <f>H1-H15</f>
        <v>2500</v>
      </c>
      <c r="I2" s="12" t="s">
        <v>25</v>
      </c>
      <c r="J2" s="13">
        <f>J1-J15</f>
        <v>2500</v>
      </c>
      <c r="K2" s="14" t="s">
        <v>26</v>
      </c>
      <c r="L2" s="15">
        <f t="shared" si="1"/>
        <v>10417.35</v>
      </c>
      <c r="M2" s="11"/>
    </row>
    <row r="3">
      <c r="A3" s="16" t="s">
        <v>27</v>
      </c>
      <c r="B3" s="17"/>
      <c r="C3" s="71" t="s">
        <v>77</v>
      </c>
      <c r="D3" s="18"/>
      <c r="E3" s="71" t="s">
        <v>80</v>
      </c>
      <c r="F3" s="18"/>
      <c r="G3" s="16" t="s">
        <v>30</v>
      </c>
      <c r="H3" s="18"/>
      <c r="I3" s="16" t="s">
        <v>31</v>
      </c>
      <c r="J3" s="18"/>
      <c r="M3" s="11"/>
    </row>
    <row r="4">
      <c r="A4" s="21" t="s">
        <v>32</v>
      </c>
      <c r="B4" s="23">
        <v>127.0</v>
      </c>
      <c r="C4" s="27" t="s">
        <v>34</v>
      </c>
      <c r="D4" s="20">
        <v>10.62</v>
      </c>
      <c r="E4" s="21" t="s">
        <v>82</v>
      </c>
      <c r="F4" s="23">
        <v>1283.0</v>
      </c>
      <c r="G4" s="21"/>
      <c r="H4" s="22"/>
      <c r="I4" s="25"/>
      <c r="J4" s="26"/>
      <c r="K4" s="11"/>
      <c r="L4" s="11"/>
      <c r="M4" s="11"/>
    </row>
    <row r="5">
      <c r="A5" s="21" t="s">
        <v>35</v>
      </c>
      <c r="B5" s="23">
        <v>95.0</v>
      </c>
      <c r="C5" s="27" t="s">
        <v>36</v>
      </c>
      <c r="D5" s="20">
        <v>17.52</v>
      </c>
      <c r="E5" s="21" t="s">
        <v>90</v>
      </c>
      <c r="F5" s="23">
        <v>369.0</v>
      </c>
      <c r="G5" s="25"/>
      <c r="H5" s="26"/>
      <c r="I5" s="25"/>
      <c r="J5" s="26"/>
      <c r="K5" s="11"/>
      <c r="L5" s="11"/>
      <c r="M5" s="11"/>
    </row>
    <row r="6">
      <c r="A6" s="21" t="s">
        <v>37</v>
      </c>
      <c r="B6" s="23">
        <v>139.64</v>
      </c>
      <c r="C6" s="27" t="s">
        <v>38</v>
      </c>
      <c r="D6" s="20">
        <v>55.9</v>
      </c>
      <c r="E6" s="25"/>
      <c r="F6" s="26"/>
      <c r="G6" s="25"/>
      <c r="H6" s="26"/>
      <c r="I6" s="25"/>
      <c r="J6" s="26"/>
      <c r="K6" s="11"/>
      <c r="L6" s="28"/>
      <c r="M6" s="11"/>
    </row>
    <row r="7">
      <c r="A7" s="21" t="s">
        <v>91</v>
      </c>
      <c r="B7" s="23">
        <v>589.84</v>
      </c>
      <c r="C7" s="27" t="s">
        <v>40</v>
      </c>
      <c r="D7" s="20">
        <v>14.9</v>
      </c>
      <c r="E7" s="25"/>
      <c r="F7" s="26"/>
      <c r="G7" s="25"/>
      <c r="H7" s="26"/>
      <c r="I7" s="25"/>
      <c r="J7" s="26"/>
      <c r="K7" s="11"/>
      <c r="L7" s="28"/>
      <c r="M7" s="11"/>
    </row>
    <row r="8">
      <c r="A8" s="21" t="s">
        <v>92</v>
      </c>
      <c r="B8" s="23">
        <v>193.0</v>
      </c>
      <c r="C8" s="21" t="s">
        <v>42</v>
      </c>
      <c r="D8" s="23">
        <v>279.0</v>
      </c>
      <c r="E8" s="31"/>
      <c r="F8" s="26"/>
      <c r="G8" s="25"/>
      <c r="H8" s="26"/>
      <c r="I8" s="25"/>
      <c r="J8" s="26"/>
      <c r="K8" s="28"/>
      <c r="L8" s="28"/>
      <c r="M8" s="11"/>
    </row>
    <row r="9">
      <c r="A9" s="21" t="s">
        <v>43</v>
      </c>
      <c r="B9" s="23">
        <v>261.5</v>
      </c>
      <c r="C9" s="21" t="s">
        <v>44</v>
      </c>
      <c r="D9" s="23">
        <v>11.6</v>
      </c>
      <c r="E9" s="31"/>
      <c r="F9" s="26"/>
      <c r="G9" s="25"/>
      <c r="H9" s="26"/>
      <c r="I9" s="25"/>
      <c r="J9" s="26"/>
      <c r="K9" s="11"/>
      <c r="L9" s="66"/>
      <c r="M9" s="11"/>
    </row>
    <row r="10">
      <c r="A10" s="76"/>
      <c r="B10" s="23"/>
      <c r="C10" s="21" t="s">
        <v>93</v>
      </c>
      <c r="D10" s="23">
        <v>259.79</v>
      </c>
      <c r="E10" s="25"/>
      <c r="F10" s="26"/>
      <c r="G10" s="25"/>
      <c r="H10" s="26"/>
      <c r="I10" s="25"/>
      <c r="J10" s="26"/>
      <c r="K10" s="11"/>
      <c r="L10" s="66"/>
      <c r="M10" s="11"/>
    </row>
    <row r="11">
      <c r="A11" s="21"/>
      <c r="B11" s="26"/>
      <c r="C11" s="21"/>
      <c r="D11" s="23"/>
      <c r="E11" s="31"/>
      <c r="F11" s="26"/>
      <c r="G11" s="31"/>
      <c r="H11" s="26"/>
      <c r="I11" s="25"/>
      <c r="J11" s="26"/>
      <c r="K11" s="11"/>
      <c r="L11" s="66"/>
      <c r="M11" s="11"/>
    </row>
    <row r="12">
      <c r="A12" s="32"/>
      <c r="B12" s="36"/>
      <c r="C12" s="21"/>
      <c r="D12" s="23"/>
      <c r="E12" s="31"/>
      <c r="F12" s="26"/>
      <c r="G12" s="31"/>
      <c r="H12" s="26"/>
      <c r="I12" s="31"/>
      <c r="J12" s="26"/>
      <c r="K12" s="11"/>
      <c r="L12" s="28"/>
      <c r="M12" s="11"/>
    </row>
    <row r="13">
      <c r="A13" s="31"/>
      <c r="B13" s="26"/>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1405.98</v>
      </c>
      <c r="C15" s="25" t="s">
        <v>50</v>
      </c>
      <c r="D15" s="26">
        <f>SUM(D4:D14)</f>
        <v>649.33</v>
      </c>
      <c r="E15" s="39" t="s">
        <v>50</v>
      </c>
      <c r="F15" s="40">
        <f>SUM(F4:F14)</f>
        <v>1652</v>
      </c>
      <c r="G15" s="39" t="s">
        <v>50</v>
      </c>
      <c r="H15" s="40">
        <f>SUM(H4:H14)</f>
        <v>0</v>
      </c>
      <c r="I15" s="39" t="s">
        <v>50</v>
      </c>
      <c r="J15" s="40">
        <f>SUM(J4:J14)</f>
        <v>0</v>
      </c>
      <c r="K15" s="11"/>
      <c r="L15" s="11"/>
      <c r="M15" s="11"/>
    </row>
    <row r="16">
      <c r="A16" s="77" t="s">
        <v>94</v>
      </c>
      <c r="B16" s="17"/>
      <c r="C16" s="11"/>
      <c r="D16" s="42"/>
      <c r="E16" s="42"/>
      <c r="F16" s="42"/>
      <c r="G16" s="11"/>
      <c r="H16" s="42"/>
      <c r="I16" s="42"/>
      <c r="J16" s="42"/>
      <c r="K16" s="42"/>
      <c r="L16" s="42"/>
      <c r="M16" s="42"/>
    </row>
    <row r="17">
      <c r="A17" s="21" t="s">
        <v>52</v>
      </c>
      <c r="B17" s="23">
        <v>1770.56</v>
      </c>
      <c r="C17" s="50"/>
      <c r="D17" s="44" t="s">
        <v>53</v>
      </c>
      <c r="E17" s="17"/>
      <c r="F17" s="18"/>
      <c r="G17" s="45"/>
      <c r="H17" s="46" t="s">
        <v>54</v>
      </c>
      <c r="M17" s="47"/>
    </row>
    <row r="18">
      <c r="A18" s="27" t="s">
        <v>55</v>
      </c>
      <c r="B18" s="20">
        <v>1565.8</v>
      </c>
      <c r="C18" s="50"/>
      <c r="D18" s="51" t="s">
        <v>56</v>
      </c>
      <c r="E18" s="52">
        <v>25000.0</v>
      </c>
      <c r="F18" s="18"/>
      <c r="G18" s="45"/>
      <c r="M18" s="47"/>
    </row>
    <row r="19">
      <c r="A19" s="21" t="s">
        <v>57</v>
      </c>
      <c r="B19" s="23">
        <v>2103.54</v>
      </c>
      <c r="C19" s="55"/>
      <c r="D19" s="56" t="s">
        <v>58</v>
      </c>
      <c r="E19" s="57">
        <v>0.55</v>
      </c>
      <c r="F19" s="58">
        <f>E18*E19</f>
        <v>13750</v>
      </c>
      <c r="G19" s="45"/>
      <c r="M19" s="47"/>
    </row>
    <row r="20">
      <c r="A20" s="27" t="s">
        <v>59</v>
      </c>
      <c r="B20" s="20">
        <v>1385.18</v>
      </c>
      <c r="C20" s="50"/>
      <c r="D20" s="74" t="s">
        <v>79</v>
      </c>
      <c r="E20" s="60">
        <v>0.05</v>
      </c>
      <c r="F20" s="58">
        <f>E18*E20</f>
        <v>1250</v>
      </c>
      <c r="G20" s="45"/>
      <c r="M20" s="47"/>
    </row>
    <row r="21">
      <c r="A21" s="27" t="s">
        <v>61</v>
      </c>
      <c r="B21" s="20">
        <v>4050.26</v>
      </c>
      <c r="C21" s="50"/>
      <c r="D21" s="74" t="s">
        <v>87</v>
      </c>
      <c r="E21" s="60">
        <v>0.2</v>
      </c>
      <c r="F21" s="58">
        <f>E18*E21</f>
        <v>5000</v>
      </c>
      <c r="G21" s="45"/>
      <c r="M21" s="47"/>
    </row>
    <row r="22">
      <c r="A22" s="21"/>
      <c r="B22" s="23"/>
      <c r="C22" s="50"/>
      <c r="D22" s="56" t="s">
        <v>63</v>
      </c>
      <c r="E22" s="57">
        <v>0.1</v>
      </c>
      <c r="F22" s="58">
        <f>E18*E22</f>
        <v>2500</v>
      </c>
      <c r="G22" s="45"/>
      <c r="M22" s="47"/>
    </row>
    <row r="23">
      <c r="A23" s="25"/>
      <c r="B23" s="26"/>
      <c r="C23" s="50"/>
      <c r="D23" s="56" t="s">
        <v>64</v>
      </c>
      <c r="E23" s="60">
        <v>0.1</v>
      </c>
      <c r="F23" s="58">
        <f>E18*E23</f>
        <v>2500</v>
      </c>
      <c r="G23" s="45"/>
      <c r="M23" s="47"/>
    </row>
    <row r="24">
      <c r="A24" s="25"/>
      <c r="B24" s="26"/>
      <c r="C24" s="50"/>
      <c r="D24" s="62" t="s">
        <v>65</v>
      </c>
      <c r="E24" s="47"/>
      <c r="F24" s="63">
        <f>SUM(F19:F23)</f>
        <v>25000</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12281.32</v>
      </c>
      <c r="C27" s="11"/>
      <c r="D27" s="11"/>
      <c r="E27" s="11"/>
      <c r="F27" s="11"/>
      <c r="G27" s="45"/>
      <c r="H27" s="17"/>
      <c r="I27" s="17"/>
      <c r="J27" s="17"/>
      <c r="K27" s="17"/>
      <c r="L27" s="17"/>
      <c r="M27" s="18"/>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32.71"/>
    <col customWidth="1" min="9" max="9" width="20.43"/>
  </cols>
  <sheetData>
    <row r="1">
      <c r="A1" s="7" t="s">
        <v>23</v>
      </c>
      <c r="B1" s="8">
        <f>F19</f>
        <v>4950</v>
      </c>
      <c r="C1" s="7" t="s">
        <v>23</v>
      </c>
      <c r="D1" s="8">
        <f>F20</f>
        <v>450</v>
      </c>
      <c r="E1" s="7" t="s">
        <v>23</v>
      </c>
      <c r="F1" s="8">
        <f>F21</f>
        <v>1800</v>
      </c>
      <c r="G1" s="7" t="s">
        <v>23</v>
      </c>
      <c r="H1" s="8">
        <f>F22</f>
        <v>900</v>
      </c>
      <c r="I1" s="7" t="s">
        <v>23</v>
      </c>
      <c r="J1" s="8">
        <f>F23</f>
        <v>900</v>
      </c>
      <c r="K1" s="9" t="s">
        <v>24</v>
      </c>
      <c r="L1" s="10">
        <f t="shared" ref="L1:L2" si="1">SUM(B1,D1,F1,H1,J1)</f>
        <v>9000</v>
      </c>
      <c r="M1" s="11"/>
    </row>
    <row r="2">
      <c r="A2" s="12" t="s">
        <v>25</v>
      </c>
      <c r="B2" s="13">
        <f>B1-B27</f>
        <v>208.24</v>
      </c>
      <c r="C2" s="12" t="s">
        <v>25</v>
      </c>
      <c r="D2" s="13">
        <f>D1-D15</f>
        <v>-203.36</v>
      </c>
      <c r="E2" s="12" t="s">
        <v>25</v>
      </c>
      <c r="F2" s="13">
        <f>F1-F15</f>
        <v>148</v>
      </c>
      <c r="G2" s="12" t="s">
        <v>25</v>
      </c>
      <c r="H2" s="13">
        <f>H1-H15</f>
        <v>900</v>
      </c>
      <c r="I2" s="12" t="s">
        <v>25</v>
      </c>
      <c r="J2" s="13">
        <f>J1-J15</f>
        <v>900</v>
      </c>
      <c r="K2" s="14" t="s">
        <v>26</v>
      </c>
      <c r="L2" s="15">
        <f t="shared" si="1"/>
        <v>1952.88</v>
      </c>
      <c r="M2" s="11"/>
    </row>
    <row r="3">
      <c r="A3" s="16" t="s">
        <v>27</v>
      </c>
      <c r="B3" s="17"/>
      <c r="C3" s="71" t="s">
        <v>77</v>
      </c>
      <c r="D3" s="18"/>
      <c r="E3" s="71" t="s">
        <v>80</v>
      </c>
      <c r="F3" s="18"/>
      <c r="G3" s="16" t="s">
        <v>30</v>
      </c>
      <c r="H3" s="18"/>
      <c r="I3" s="16" t="s">
        <v>31</v>
      </c>
      <c r="J3" s="18"/>
      <c r="M3" s="11"/>
    </row>
    <row r="4">
      <c r="A4" s="21" t="s">
        <v>32</v>
      </c>
      <c r="B4" s="23">
        <v>127.0</v>
      </c>
      <c r="C4" s="21" t="s">
        <v>34</v>
      </c>
      <c r="D4" s="23">
        <v>10.62</v>
      </c>
      <c r="E4" s="21" t="s">
        <v>82</v>
      </c>
      <c r="F4" s="23">
        <v>1283.0</v>
      </c>
      <c r="G4" s="21"/>
      <c r="H4" s="22"/>
      <c r="I4" s="25"/>
      <c r="J4" s="26"/>
      <c r="K4" s="11"/>
      <c r="L4" s="11"/>
      <c r="M4" s="11"/>
    </row>
    <row r="5">
      <c r="A5" s="21" t="s">
        <v>35</v>
      </c>
      <c r="B5" s="23">
        <v>95.0</v>
      </c>
      <c r="C5" s="21" t="s">
        <v>36</v>
      </c>
      <c r="D5" s="23">
        <v>17.52</v>
      </c>
      <c r="E5" s="21" t="s">
        <v>95</v>
      </c>
      <c r="F5" s="23">
        <v>369.0</v>
      </c>
      <c r="G5" s="25"/>
      <c r="H5" s="26"/>
      <c r="I5" s="25"/>
      <c r="J5" s="26"/>
      <c r="K5" s="11"/>
      <c r="L5" s="11"/>
      <c r="M5" s="11"/>
    </row>
    <row r="6">
      <c r="A6" s="21" t="s">
        <v>37</v>
      </c>
      <c r="B6" s="23">
        <v>139.64</v>
      </c>
      <c r="C6" s="21" t="s">
        <v>38</v>
      </c>
      <c r="D6" s="23">
        <v>55.9</v>
      </c>
      <c r="E6" s="25"/>
      <c r="F6" s="26"/>
      <c r="G6" s="25"/>
      <c r="H6" s="26"/>
      <c r="I6" s="25"/>
      <c r="J6" s="26"/>
      <c r="K6" s="11"/>
      <c r="L6" s="28"/>
      <c r="M6" s="11"/>
    </row>
    <row r="7">
      <c r="A7" s="21" t="s">
        <v>91</v>
      </c>
      <c r="B7" s="23">
        <v>589.84</v>
      </c>
      <c r="C7" s="21" t="s">
        <v>40</v>
      </c>
      <c r="D7" s="23">
        <v>14.9</v>
      </c>
      <c r="E7" s="25"/>
      <c r="F7" s="26"/>
      <c r="G7" s="25"/>
      <c r="H7" s="26"/>
      <c r="I7" s="25"/>
      <c r="J7" s="26"/>
      <c r="K7" s="11"/>
      <c r="L7" s="28"/>
      <c r="M7" s="11"/>
    </row>
    <row r="8">
      <c r="A8" s="21" t="s">
        <v>92</v>
      </c>
      <c r="B8" s="23">
        <v>193.0</v>
      </c>
      <c r="C8" s="21" t="s">
        <v>42</v>
      </c>
      <c r="D8" s="23">
        <v>279.0</v>
      </c>
      <c r="E8" s="31"/>
      <c r="F8" s="26"/>
      <c r="G8" s="25"/>
      <c r="H8" s="26"/>
      <c r="I8" s="25"/>
      <c r="J8" s="26"/>
      <c r="K8" s="28"/>
      <c r="L8" s="28"/>
      <c r="M8" s="11"/>
    </row>
    <row r="9">
      <c r="A9" s="21" t="s">
        <v>43</v>
      </c>
      <c r="B9" s="23">
        <v>261.5</v>
      </c>
      <c r="C9" s="21" t="s">
        <v>44</v>
      </c>
      <c r="D9" s="23">
        <v>11.6</v>
      </c>
      <c r="E9" s="31"/>
      <c r="F9" s="26"/>
      <c r="G9" s="25"/>
      <c r="H9" s="26"/>
      <c r="I9" s="25"/>
      <c r="J9" s="26"/>
      <c r="K9" s="11"/>
      <c r="L9" s="66"/>
      <c r="M9" s="11"/>
    </row>
    <row r="10">
      <c r="A10" s="76"/>
      <c r="B10" s="23"/>
      <c r="C10" s="21" t="s">
        <v>96</v>
      </c>
      <c r="D10" s="23">
        <v>263.82</v>
      </c>
      <c r="E10" s="25"/>
      <c r="F10" s="26"/>
      <c r="G10" s="25"/>
      <c r="H10" s="26"/>
      <c r="I10" s="25"/>
      <c r="J10" s="26"/>
      <c r="K10" s="11"/>
      <c r="L10" s="66"/>
      <c r="M10" s="11"/>
    </row>
    <row r="11">
      <c r="A11" s="21"/>
      <c r="B11" s="26"/>
      <c r="C11" s="21"/>
      <c r="D11" s="23"/>
      <c r="E11" s="31"/>
      <c r="F11" s="26"/>
      <c r="G11" s="31"/>
      <c r="H11" s="26"/>
      <c r="I11" s="25"/>
      <c r="J11" s="26"/>
      <c r="K11" s="11"/>
      <c r="L11" s="66"/>
      <c r="M11" s="11"/>
    </row>
    <row r="12">
      <c r="A12" s="32"/>
      <c r="B12" s="36"/>
      <c r="C12" s="21"/>
      <c r="D12" s="23"/>
      <c r="E12" s="31"/>
      <c r="F12" s="26"/>
      <c r="G12" s="31"/>
      <c r="H12" s="26"/>
      <c r="I12" s="31"/>
      <c r="J12" s="26"/>
      <c r="K12" s="11"/>
      <c r="L12" s="28"/>
      <c r="M12" s="11"/>
    </row>
    <row r="13">
      <c r="A13" s="31"/>
      <c r="B13" s="26"/>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1405.98</v>
      </c>
      <c r="C15" s="25" t="s">
        <v>50</v>
      </c>
      <c r="D15" s="26">
        <f>SUM(D4:D14)</f>
        <v>653.36</v>
      </c>
      <c r="E15" s="39" t="s">
        <v>50</v>
      </c>
      <c r="F15" s="40">
        <f>SUM(F4:F14)</f>
        <v>1652</v>
      </c>
      <c r="G15" s="39" t="s">
        <v>50</v>
      </c>
      <c r="H15" s="40">
        <f>SUM(H4:H14)</f>
        <v>0</v>
      </c>
      <c r="I15" s="39" t="s">
        <v>50</v>
      </c>
      <c r="J15" s="40">
        <f>SUM(J4:J14)</f>
        <v>0</v>
      </c>
      <c r="K15" s="11"/>
      <c r="L15" s="11"/>
      <c r="M15" s="11"/>
    </row>
    <row r="16">
      <c r="A16" s="41" t="s">
        <v>51</v>
      </c>
      <c r="B16" s="17"/>
      <c r="C16" s="11"/>
      <c r="D16" s="42"/>
      <c r="E16" s="42"/>
      <c r="F16" s="42"/>
      <c r="G16" s="11"/>
      <c r="H16" s="42"/>
      <c r="I16" s="42"/>
      <c r="J16" s="42"/>
      <c r="K16" s="42"/>
      <c r="L16" s="42"/>
      <c r="M16" s="42"/>
    </row>
    <row r="17">
      <c r="A17" s="21" t="s">
        <v>52</v>
      </c>
      <c r="B17" s="23">
        <v>1083.83</v>
      </c>
      <c r="C17" s="50"/>
      <c r="D17" s="44" t="s">
        <v>53</v>
      </c>
      <c r="E17" s="17"/>
      <c r="F17" s="18"/>
      <c r="G17" s="45"/>
      <c r="H17" s="46" t="s">
        <v>54</v>
      </c>
      <c r="M17" s="47"/>
    </row>
    <row r="18">
      <c r="A18" s="21" t="s">
        <v>55</v>
      </c>
      <c r="B18" s="23">
        <v>232.25</v>
      </c>
      <c r="C18" s="50"/>
      <c r="D18" s="51" t="s">
        <v>56</v>
      </c>
      <c r="E18" s="52">
        <v>9000.0</v>
      </c>
      <c r="F18" s="18"/>
      <c r="G18" s="45"/>
      <c r="M18" s="47"/>
    </row>
    <row r="19">
      <c r="A19" s="21" t="s">
        <v>57</v>
      </c>
      <c r="B19" s="23">
        <v>365.81</v>
      </c>
      <c r="C19" s="55"/>
      <c r="D19" s="56" t="s">
        <v>58</v>
      </c>
      <c r="E19" s="57">
        <v>0.55</v>
      </c>
      <c r="F19" s="58">
        <f>E18*E19</f>
        <v>4950</v>
      </c>
      <c r="G19" s="45"/>
      <c r="M19" s="47"/>
    </row>
    <row r="20">
      <c r="A20" s="21" t="s">
        <v>59</v>
      </c>
      <c r="B20" s="23">
        <v>241.48</v>
      </c>
      <c r="C20" s="50"/>
      <c r="D20" s="74" t="s">
        <v>79</v>
      </c>
      <c r="E20" s="60">
        <v>0.05</v>
      </c>
      <c r="F20" s="58">
        <f>E18*E20</f>
        <v>450</v>
      </c>
      <c r="G20" s="45"/>
      <c r="M20" s="47"/>
    </row>
    <row r="21">
      <c r="A21" s="21" t="s">
        <v>61</v>
      </c>
      <c r="B21" s="23">
        <v>1412.41</v>
      </c>
      <c r="C21" s="50"/>
      <c r="D21" s="74" t="s">
        <v>87</v>
      </c>
      <c r="E21" s="60">
        <v>0.2</v>
      </c>
      <c r="F21" s="58">
        <f>E18*E21</f>
        <v>1800</v>
      </c>
      <c r="G21" s="45"/>
      <c r="M21" s="47"/>
    </row>
    <row r="22">
      <c r="A22" s="25"/>
      <c r="B22" s="26"/>
      <c r="C22" s="50"/>
      <c r="D22" s="56" t="s">
        <v>63</v>
      </c>
      <c r="E22" s="57">
        <v>0.1</v>
      </c>
      <c r="F22" s="58">
        <f>E18*E22</f>
        <v>900</v>
      </c>
      <c r="G22" s="45"/>
      <c r="M22" s="47"/>
    </row>
    <row r="23">
      <c r="A23" s="25"/>
      <c r="B23" s="26"/>
      <c r="C23" s="50"/>
      <c r="D23" s="56" t="s">
        <v>64</v>
      </c>
      <c r="E23" s="60">
        <v>0.1</v>
      </c>
      <c r="F23" s="58">
        <f>E18*E23</f>
        <v>900</v>
      </c>
      <c r="G23" s="45"/>
      <c r="M23" s="47"/>
    </row>
    <row r="24">
      <c r="A24" s="25"/>
      <c r="B24" s="26"/>
      <c r="C24" s="50"/>
      <c r="D24" s="62" t="s">
        <v>65</v>
      </c>
      <c r="E24" s="47"/>
      <c r="F24" s="63">
        <f>SUM(F19:F23)</f>
        <v>9000</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4741.76</v>
      </c>
      <c r="C27" s="11"/>
      <c r="D27" s="11"/>
      <c r="E27" s="11"/>
      <c r="F27" s="11"/>
      <c r="G27" s="45"/>
      <c r="H27" s="17"/>
      <c r="I27" s="17"/>
      <c r="J27" s="17"/>
      <c r="K27" s="17"/>
      <c r="L27" s="17"/>
      <c r="M27" s="18"/>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32.71"/>
    <col customWidth="1" min="9" max="9" width="20.43"/>
  </cols>
  <sheetData>
    <row r="1">
      <c r="A1" s="7" t="s">
        <v>23</v>
      </c>
      <c r="B1" s="8">
        <f>F19</f>
        <v>4620</v>
      </c>
      <c r="C1" s="7" t="s">
        <v>23</v>
      </c>
      <c r="D1" s="8">
        <f>F20</f>
        <v>420</v>
      </c>
      <c r="E1" s="7" t="s">
        <v>23</v>
      </c>
      <c r="F1" s="8">
        <f>F21</f>
        <v>1680</v>
      </c>
      <c r="G1" s="7" t="s">
        <v>23</v>
      </c>
      <c r="H1" s="8">
        <f>F22</f>
        <v>840</v>
      </c>
      <c r="I1" s="7" t="s">
        <v>23</v>
      </c>
      <c r="J1" s="8">
        <f>F23</f>
        <v>840</v>
      </c>
      <c r="K1" s="9" t="s">
        <v>24</v>
      </c>
      <c r="L1" s="10">
        <f t="shared" ref="L1:L2" si="1">SUM(B1,D1,F1,H1,J1)</f>
        <v>8400</v>
      </c>
      <c r="M1" s="11"/>
    </row>
    <row r="2">
      <c r="A2" s="12" t="s">
        <v>25</v>
      </c>
      <c r="B2" s="13">
        <f>B1-B27</f>
        <v>1664.06</v>
      </c>
      <c r="C2" s="12" t="s">
        <v>25</v>
      </c>
      <c r="D2" s="13">
        <f>D1-D15</f>
        <v>309.46</v>
      </c>
      <c r="E2" s="12" t="s">
        <v>25</v>
      </c>
      <c r="F2" s="13">
        <f>F1-F15</f>
        <v>1680</v>
      </c>
      <c r="G2" s="12" t="s">
        <v>25</v>
      </c>
      <c r="H2" s="13">
        <f>H1-H15</f>
        <v>840</v>
      </c>
      <c r="I2" s="12" t="s">
        <v>25</v>
      </c>
      <c r="J2" s="13">
        <f>J1-J15</f>
        <v>840</v>
      </c>
      <c r="K2" s="14" t="s">
        <v>26</v>
      </c>
      <c r="L2" s="15">
        <f t="shared" si="1"/>
        <v>5333.52</v>
      </c>
      <c r="M2" s="11"/>
    </row>
    <row r="3">
      <c r="A3" s="16" t="s">
        <v>27</v>
      </c>
      <c r="B3" s="17"/>
      <c r="C3" s="71" t="s">
        <v>77</v>
      </c>
      <c r="D3" s="18"/>
      <c r="E3" s="71" t="s">
        <v>80</v>
      </c>
      <c r="F3" s="18"/>
      <c r="G3" s="16" t="s">
        <v>30</v>
      </c>
      <c r="H3" s="18"/>
      <c r="I3" s="16" t="s">
        <v>31</v>
      </c>
      <c r="J3" s="18"/>
      <c r="M3" s="11"/>
    </row>
    <row r="4">
      <c r="A4" s="21" t="s">
        <v>32</v>
      </c>
      <c r="B4" s="23">
        <v>127.0</v>
      </c>
      <c r="C4" s="21" t="s">
        <v>34</v>
      </c>
      <c r="D4" s="23">
        <v>10.62</v>
      </c>
      <c r="E4" s="21" t="s">
        <v>82</v>
      </c>
      <c r="F4" s="23"/>
      <c r="G4" s="21"/>
      <c r="H4" s="22"/>
      <c r="I4" s="25"/>
      <c r="J4" s="26"/>
      <c r="K4" s="11"/>
      <c r="L4" s="11"/>
      <c r="M4" s="11"/>
    </row>
    <row r="5">
      <c r="A5" s="21" t="s">
        <v>35</v>
      </c>
      <c r="B5" s="23">
        <v>95.0</v>
      </c>
      <c r="C5" s="21" t="s">
        <v>36</v>
      </c>
      <c r="D5" s="23">
        <v>17.52</v>
      </c>
      <c r="E5" s="21" t="s">
        <v>97</v>
      </c>
      <c r="F5" s="23"/>
      <c r="G5" s="25"/>
      <c r="H5" s="26"/>
      <c r="I5" s="25"/>
      <c r="J5" s="26"/>
      <c r="K5" s="11"/>
      <c r="L5" s="11"/>
      <c r="M5" s="11"/>
    </row>
    <row r="6">
      <c r="A6" s="21" t="s">
        <v>37</v>
      </c>
      <c r="B6" s="23">
        <v>139.64</v>
      </c>
      <c r="C6" s="21" t="s">
        <v>38</v>
      </c>
      <c r="D6" s="23">
        <v>55.9</v>
      </c>
      <c r="E6" s="25"/>
      <c r="F6" s="26"/>
      <c r="G6" s="25"/>
      <c r="H6" s="26"/>
      <c r="I6" s="25"/>
      <c r="J6" s="26"/>
      <c r="K6" s="11"/>
      <c r="L6" s="28"/>
      <c r="M6" s="11"/>
    </row>
    <row r="7">
      <c r="A7" s="21" t="s">
        <v>91</v>
      </c>
      <c r="B7" s="23">
        <v>589.84</v>
      </c>
      <c r="C7" s="21" t="s">
        <v>40</v>
      </c>
      <c r="D7" s="23">
        <v>14.9</v>
      </c>
      <c r="E7" s="25"/>
      <c r="F7" s="26"/>
      <c r="G7" s="25"/>
      <c r="H7" s="26"/>
      <c r="I7" s="25"/>
      <c r="J7" s="26"/>
      <c r="K7" s="11"/>
      <c r="L7" s="28"/>
      <c r="M7" s="11"/>
    </row>
    <row r="8">
      <c r="A8" s="21" t="s">
        <v>92</v>
      </c>
      <c r="B8" s="23">
        <v>193.0</v>
      </c>
      <c r="C8" s="21" t="s">
        <v>42</v>
      </c>
      <c r="D8" s="23"/>
      <c r="E8" s="31"/>
      <c r="F8" s="26"/>
      <c r="G8" s="25"/>
      <c r="H8" s="26"/>
      <c r="I8" s="25"/>
      <c r="J8" s="26"/>
      <c r="K8" s="28"/>
      <c r="L8" s="28"/>
      <c r="M8" s="11"/>
    </row>
    <row r="9">
      <c r="A9" s="21" t="s">
        <v>43</v>
      </c>
      <c r="B9" s="23">
        <v>261.5</v>
      </c>
      <c r="C9" s="21" t="s">
        <v>44</v>
      </c>
      <c r="D9" s="23">
        <v>11.6</v>
      </c>
      <c r="E9" s="31"/>
      <c r="F9" s="26"/>
      <c r="G9" s="25"/>
      <c r="H9" s="26"/>
      <c r="I9" s="25"/>
      <c r="J9" s="26"/>
      <c r="K9" s="11"/>
      <c r="L9" s="66"/>
      <c r="M9" s="11"/>
    </row>
    <row r="10">
      <c r="A10" s="76"/>
      <c r="B10" s="23"/>
      <c r="C10" s="21"/>
      <c r="D10" s="23"/>
      <c r="E10" s="25"/>
      <c r="F10" s="26"/>
      <c r="G10" s="25"/>
      <c r="H10" s="26"/>
      <c r="I10" s="25"/>
      <c r="J10" s="26"/>
      <c r="K10" s="11"/>
      <c r="L10" s="66"/>
      <c r="M10" s="11"/>
    </row>
    <row r="11">
      <c r="A11" s="21"/>
      <c r="B11" s="26"/>
      <c r="C11" s="21"/>
      <c r="D11" s="23"/>
      <c r="E11" s="31"/>
      <c r="F11" s="26"/>
      <c r="G11" s="31"/>
      <c r="H11" s="26"/>
      <c r="I11" s="25"/>
      <c r="J11" s="26"/>
      <c r="K11" s="11"/>
      <c r="L11" s="66"/>
      <c r="M11" s="11"/>
    </row>
    <row r="12">
      <c r="A12" s="32"/>
      <c r="B12" s="36"/>
      <c r="C12" s="21"/>
      <c r="D12" s="23"/>
      <c r="E12" s="31"/>
      <c r="F12" s="26"/>
      <c r="G12" s="31"/>
      <c r="H12" s="26"/>
      <c r="I12" s="31"/>
      <c r="J12" s="26"/>
      <c r="K12" s="11"/>
      <c r="L12" s="28"/>
      <c r="M12" s="11"/>
    </row>
    <row r="13">
      <c r="A13" s="31"/>
      <c r="B13" s="26"/>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1405.98</v>
      </c>
      <c r="C15" s="25" t="s">
        <v>50</v>
      </c>
      <c r="D15" s="26">
        <f>SUM(D4:D14)</f>
        <v>110.54</v>
      </c>
      <c r="E15" s="39" t="s">
        <v>50</v>
      </c>
      <c r="F15" s="40">
        <f>SUM(F4:F14)</f>
        <v>0</v>
      </c>
      <c r="G15" s="39" t="s">
        <v>50</v>
      </c>
      <c r="H15" s="40">
        <f>SUM(H4:H14)</f>
        <v>0</v>
      </c>
      <c r="I15" s="39" t="s">
        <v>50</v>
      </c>
      <c r="J15" s="40">
        <f>SUM(J4:J14)</f>
        <v>0</v>
      </c>
      <c r="K15" s="11"/>
      <c r="L15" s="11"/>
      <c r="M15" s="11"/>
    </row>
    <row r="16">
      <c r="A16" s="41" t="s">
        <v>51</v>
      </c>
      <c r="B16" s="17"/>
      <c r="C16" s="11"/>
      <c r="D16" s="42"/>
      <c r="E16" s="42"/>
      <c r="F16" s="42"/>
      <c r="G16" s="11"/>
      <c r="H16" s="42"/>
      <c r="I16" s="42"/>
      <c r="J16" s="42"/>
      <c r="K16" s="42"/>
      <c r="L16" s="42"/>
      <c r="M16" s="42"/>
    </row>
    <row r="17">
      <c r="A17" s="21" t="s">
        <v>52</v>
      </c>
      <c r="B17" s="23">
        <v>637.92</v>
      </c>
      <c r="C17" s="50"/>
      <c r="D17" s="44" t="s">
        <v>53</v>
      </c>
      <c r="E17" s="17"/>
      <c r="F17" s="18"/>
      <c r="G17" s="45"/>
      <c r="H17" s="46" t="s">
        <v>54</v>
      </c>
      <c r="M17" s="47"/>
    </row>
    <row r="18">
      <c r="A18" s="21" t="s">
        <v>55</v>
      </c>
      <c r="B18" s="23">
        <v>164.61</v>
      </c>
      <c r="C18" s="50"/>
      <c r="D18" s="51" t="s">
        <v>56</v>
      </c>
      <c r="E18" s="52">
        <v>8400.0</v>
      </c>
      <c r="F18" s="18"/>
      <c r="G18" s="45"/>
      <c r="M18" s="47"/>
    </row>
    <row r="19">
      <c r="A19" s="21" t="s">
        <v>57</v>
      </c>
      <c r="B19" s="23">
        <v>176.81</v>
      </c>
      <c r="C19" s="55"/>
      <c r="D19" s="56" t="s">
        <v>58</v>
      </c>
      <c r="E19" s="57">
        <v>0.55</v>
      </c>
      <c r="F19" s="58">
        <f>E18*E19</f>
        <v>4620</v>
      </c>
      <c r="G19" s="45"/>
      <c r="M19" s="47"/>
    </row>
    <row r="20">
      <c r="A20" s="21" t="s">
        <v>59</v>
      </c>
      <c r="B20" s="23">
        <v>166.58</v>
      </c>
      <c r="C20" s="50"/>
      <c r="D20" s="74" t="s">
        <v>79</v>
      </c>
      <c r="E20" s="60">
        <v>0.05</v>
      </c>
      <c r="F20" s="58">
        <f>E18*E20</f>
        <v>420</v>
      </c>
      <c r="G20" s="45"/>
      <c r="M20" s="47"/>
    </row>
    <row r="21">
      <c r="A21" s="21" t="s">
        <v>61</v>
      </c>
      <c r="B21" s="23">
        <v>404.04</v>
      </c>
      <c r="C21" s="50"/>
      <c r="D21" s="74" t="s">
        <v>87</v>
      </c>
      <c r="E21" s="60">
        <v>0.2</v>
      </c>
      <c r="F21" s="58">
        <f>E18*E21</f>
        <v>1680</v>
      </c>
      <c r="G21" s="45"/>
      <c r="M21" s="47"/>
    </row>
    <row r="22">
      <c r="A22" s="25"/>
      <c r="B22" s="26"/>
      <c r="C22" s="50"/>
      <c r="D22" s="56" t="s">
        <v>63</v>
      </c>
      <c r="E22" s="57">
        <v>0.1</v>
      </c>
      <c r="F22" s="58">
        <f>E18*E22</f>
        <v>840</v>
      </c>
      <c r="G22" s="45"/>
      <c r="M22" s="47"/>
    </row>
    <row r="23">
      <c r="A23" s="25"/>
      <c r="B23" s="26"/>
      <c r="C23" s="50"/>
      <c r="D23" s="56" t="s">
        <v>64</v>
      </c>
      <c r="E23" s="60">
        <v>0.1</v>
      </c>
      <c r="F23" s="58">
        <f>E18*E23</f>
        <v>840</v>
      </c>
      <c r="G23" s="45"/>
      <c r="M23" s="47"/>
    </row>
    <row r="24">
      <c r="A24" s="25"/>
      <c r="B24" s="26"/>
      <c r="C24" s="50"/>
      <c r="D24" s="62" t="s">
        <v>65</v>
      </c>
      <c r="E24" s="47"/>
      <c r="F24" s="63">
        <f>SUM(F19:F23)</f>
        <v>8400</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2955.94</v>
      </c>
      <c r="C27" s="11"/>
      <c r="D27" s="11"/>
      <c r="E27" s="11"/>
      <c r="F27" s="11"/>
      <c r="G27" s="45"/>
      <c r="H27" s="17"/>
      <c r="I27" s="17"/>
      <c r="J27" s="17"/>
      <c r="K27" s="17"/>
      <c r="L27" s="17"/>
      <c r="M27" s="18"/>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32.71"/>
    <col customWidth="1" min="9" max="9" width="20.43"/>
  </cols>
  <sheetData>
    <row r="1">
      <c r="A1" s="7" t="s">
        <v>23</v>
      </c>
      <c r="B1" s="8">
        <f>F19</f>
        <v>5889.4</v>
      </c>
      <c r="C1" s="7" t="s">
        <v>23</v>
      </c>
      <c r="D1" s="8">
        <f>F20</f>
        <v>535.4</v>
      </c>
      <c r="E1" s="7" t="s">
        <v>23</v>
      </c>
      <c r="F1" s="8">
        <f>F21</f>
        <v>2141.6</v>
      </c>
      <c r="G1" s="7" t="s">
        <v>23</v>
      </c>
      <c r="H1" s="8">
        <f>F22</f>
        <v>1070.8</v>
      </c>
      <c r="I1" s="7" t="s">
        <v>23</v>
      </c>
      <c r="J1" s="8">
        <f>F23</f>
        <v>1070.8</v>
      </c>
      <c r="K1" s="9" t="s">
        <v>24</v>
      </c>
      <c r="L1" s="10">
        <f t="shared" ref="L1:L2" si="1">SUM(B1,D1,F1,H1,J1)</f>
        <v>10708</v>
      </c>
      <c r="M1" s="11"/>
    </row>
    <row r="2">
      <c r="A2" s="12" t="s">
        <v>25</v>
      </c>
      <c r="B2" s="13">
        <f>B1-B27</f>
        <v>3597.66</v>
      </c>
      <c r="C2" s="12" t="s">
        <v>25</v>
      </c>
      <c r="D2" s="13">
        <f>D1-D15</f>
        <v>145.86</v>
      </c>
      <c r="E2" s="12" t="s">
        <v>25</v>
      </c>
      <c r="F2" s="13">
        <f>F1-F15</f>
        <v>489.6</v>
      </c>
      <c r="G2" s="12" t="s">
        <v>25</v>
      </c>
      <c r="H2" s="13">
        <f>H1-H15</f>
        <v>1070.8</v>
      </c>
      <c r="I2" s="12" t="s">
        <v>25</v>
      </c>
      <c r="J2" s="13">
        <f>J1-J15</f>
        <v>1070.8</v>
      </c>
      <c r="K2" s="14" t="s">
        <v>26</v>
      </c>
      <c r="L2" s="15">
        <f t="shared" si="1"/>
        <v>6374.72</v>
      </c>
      <c r="M2" s="11"/>
    </row>
    <row r="3">
      <c r="A3" s="16" t="s">
        <v>27</v>
      </c>
      <c r="B3" s="17"/>
      <c r="C3" s="71" t="s">
        <v>77</v>
      </c>
      <c r="D3" s="18"/>
      <c r="E3" s="71" t="s">
        <v>80</v>
      </c>
      <c r="F3" s="18"/>
      <c r="G3" s="16" t="s">
        <v>30</v>
      </c>
      <c r="H3" s="18"/>
      <c r="I3" s="16" t="s">
        <v>31</v>
      </c>
      <c r="J3" s="18"/>
      <c r="M3" s="11"/>
    </row>
    <row r="4">
      <c r="A4" s="21" t="s">
        <v>32</v>
      </c>
      <c r="B4" s="23">
        <v>127.0</v>
      </c>
      <c r="C4" s="21" t="s">
        <v>34</v>
      </c>
      <c r="D4" s="23">
        <v>10.62</v>
      </c>
      <c r="E4" s="21" t="s">
        <v>82</v>
      </c>
      <c r="F4" s="23">
        <v>1283.0</v>
      </c>
      <c r="G4" s="21"/>
      <c r="H4" s="22"/>
      <c r="I4" s="25"/>
      <c r="J4" s="26"/>
      <c r="K4" s="11"/>
      <c r="L4" s="11"/>
      <c r="M4" s="11"/>
    </row>
    <row r="5">
      <c r="A5" s="21" t="s">
        <v>35</v>
      </c>
      <c r="B5" s="23">
        <v>95.0</v>
      </c>
      <c r="C5" s="21" t="s">
        <v>36</v>
      </c>
      <c r="D5" s="23">
        <v>17.52</v>
      </c>
      <c r="E5" s="21" t="s">
        <v>98</v>
      </c>
      <c r="F5" s="23">
        <v>369.0</v>
      </c>
      <c r="G5" s="25"/>
      <c r="H5" s="26"/>
      <c r="I5" s="25"/>
      <c r="J5" s="26"/>
      <c r="K5" s="11"/>
      <c r="L5" s="11"/>
      <c r="M5" s="11"/>
    </row>
    <row r="6">
      <c r="A6" s="21" t="s">
        <v>37</v>
      </c>
      <c r="B6" s="23">
        <v>139.64</v>
      </c>
      <c r="C6" s="21" t="s">
        <v>38</v>
      </c>
      <c r="D6" s="23">
        <v>55.9</v>
      </c>
      <c r="E6" s="25"/>
      <c r="F6" s="26"/>
      <c r="G6" s="25"/>
      <c r="H6" s="26"/>
      <c r="I6" s="25"/>
      <c r="J6" s="26"/>
      <c r="K6" s="11"/>
      <c r="L6" s="28"/>
      <c r="M6" s="11"/>
    </row>
    <row r="7">
      <c r="A7" s="21" t="s">
        <v>91</v>
      </c>
      <c r="B7" s="23">
        <v>589.84</v>
      </c>
      <c r="C7" s="21" t="s">
        <v>40</v>
      </c>
      <c r="D7" s="23">
        <v>14.9</v>
      </c>
      <c r="E7" s="25"/>
      <c r="F7" s="26"/>
      <c r="G7" s="25"/>
      <c r="H7" s="26"/>
      <c r="I7" s="25"/>
      <c r="J7" s="26"/>
      <c r="K7" s="11"/>
      <c r="L7" s="28"/>
      <c r="M7" s="11"/>
    </row>
    <row r="8">
      <c r="A8" s="21" t="s">
        <v>92</v>
      </c>
      <c r="B8" s="23">
        <v>193.0</v>
      </c>
      <c r="C8" s="21" t="s">
        <v>42</v>
      </c>
      <c r="D8" s="23">
        <v>279.0</v>
      </c>
      <c r="E8" s="31"/>
      <c r="F8" s="26"/>
      <c r="G8" s="25"/>
      <c r="H8" s="26"/>
      <c r="I8" s="25"/>
      <c r="J8" s="26"/>
      <c r="K8" s="28"/>
      <c r="L8" s="28"/>
      <c r="M8" s="11"/>
    </row>
    <row r="9">
      <c r="A9" s="21" t="s">
        <v>43</v>
      </c>
      <c r="B9" s="23">
        <v>261.5</v>
      </c>
      <c r="C9" s="21" t="s">
        <v>44</v>
      </c>
      <c r="D9" s="23">
        <v>11.6</v>
      </c>
      <c r="E9" s="31"/>
      <c r="F9" s="26"/>
      <c r="G9" s="25"/>
      <c r="H9" s="26"/>
      <c r="I9" s="25"/>
      <c r="J9" s="26"/>
      <c r="K9" s="11"/>
      <c r="L9" s="66"/>
      <c r="M9" s="11"/>
    </row>
    <row r="10">
      <c r="A10" s="76"/>
      <c r="B10" s="23"/>
      <c r="C10" s="21"/>
      <c r="D10" s="23"/>
      <c r="E10" s="25"/>
      <c r="F10" s="26"/>
      <c r="G10" s="25"/>
      <c r="H10" s="26"/>
      <c r="I10" s="25"/>
      <c r="J10" s="26"/>
      <c r="K10" s="11"/>
      <c r="L10" s="66"/>
      <c r="M10" s="11"/>
    </row>
    <row r="11">
      <c r="A11" s="21"/>
      <c r="B11" s="26"/>
      <c r="C11" s="21"/>
      <c r="D11" s="23"/>
      <c r="E11" s="31"/>
      <c r="F11" s="26"/>
      <c r="G11" s="31"/>
      <c r="H11" s="26"/>
      <c r="I11" s="25"/>
      <c r="J11" s="26"/>
      <c r="K11" s="11"/>
      <c r="L11" s="66"/>
      <c r="M11" s="11"/>
    </row>
    <row r="12">
      <c r="A12" s="32"/>
      <c r="B12" s="36"/>
      <c r="C12" s="21"/>
      <c r="D12" s="23"/>
      <c r="E12" s="31"/>
      <c r="F12" s="26"/>
      <c r="G12" s="31"/>
      <c r="H12" s="26"/>
      <c r="I12" s="31"/>
      <c r="J12" s="26"/>
      <c r="K12" s="11"/>
      <c r="L12" s="28"/>
      <c r="M12" s="11"/>
    </row>
    <row r="13">
      <c r="A13" s="31"/>
      <c r="B13" s="26"/>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1405.98</v>
      </c>
      <c r="C15" s="25" t="s">
        <v>50</v>
      </c>
      <c r="D15" s="26">
        <f>SUM(D4:D14)</f>
        <v>389.54</v>
      </c>
      <c r="E15" s="39" t="s">
        <v>50</v>
      </c>
      <c r="F15" s="40">
        <f>SUM(F4:F14)</f>
        <v>1652</v>
      </c>
      <c r="G15" s="39" t="s">
        <v>50</v>
      </c>
      <c r="H15" s="40">
        <f>SUM(H4:H14)</f>
        <v>0</v>
      </c>
      <c r="I15" s="39" t="s">
        <v>50</v>
      </c>
      <c r="J15" s="40">
        <f>SUM(J4:J14)</f>
        <v>0</v>
      </c>
      <c r="K15" s="11"/>
      <c r="L15" s="11"/>
      <c r="M15" s="11"/>
    </row>
    <row r="16">
      <c r="A16" s="41" t="s">
        <v>51</v>
      </c>
      <c r="B16" s="17"/>
      <c r="C16" s="11"/>
      <c r="D16" s="42"/>
      <c r="E16" s="42"/>
      <c r="F16" s="42"/>
      <c r="G16" s="11"/>
      <c r="H16" s="42"/>
      <c r="I16" s="42"/>
      <c r="J16" s="42"/>
      <c r="K16" s="42"/>
      <c r="L16" s="42"/>
      <c r="M16" s="42"/>
    </row>
    <row r="17">
      <c r="A17" s="21" t="s">
        <v>52</v>
      </c>
      <c r="B17" s="23">
        <v>19.7</v>
      </c>
      <c r="C17" s="50"/>
      <c r="D17" s="44" t="s">
        <v>53</v>
      </c>
      <c r="E17" s="17"/>
      <c r="F17" s="18"/>
      <c r="G17" s="45"/>
      <c r="H17" s="46" t="s">
        <v>54</v>
      </c>
      <c r="M17" s="47"/>
    </row>
    <row r="18">
      <c r="A18" s="21" t="s">
        <v>55</v>
      </c>
      <c r="B18" s="23">
        <v>54.63</v>
      </c>
      <c r="C18" s="50"/>
      <c r="D18" s="51" t="s">
        <v>56</v>
      </c>
      <c r="E18" s="52">
        <v>10708.0</v>
      </c>
      <c r="F18" s="18"/>
      <c r="G18" s="45"/>
      <c r="M18" s="47"/>
    </row>
    <row r="19">
      <c r="A19" s="21" t="s">
        <v>57</v>
      </c>
      <c r="B19" s="23">
        <v>240.81</v>
      </c>
      <c r="C19" s="55"/>
      <c r="D19" s="56" t="s">
        <v>58</v>
      </c>
      <c r="E19" s="57">
        <v>0.55</v>
      </c>
      <c r="F19" s="58">
        <f>E18*E19</f>
        <v>5889.4</v>
      </c>
      <c r="G19" s="45"/>
      <c r="M19" s="47"/>
    </row>
    <row r="20">
      <c r="A20" s="21" t="s">
        <v>59</v>
      </c>
      <c r="B20" s="23">
        <v>166.58</v>
      </c>
      <c r="C20" s="50"/>
      <c r="D20" s="74" t="s">
        <v>79</v>
      </c>
      <c r="E20" s="60">
        <v>0.05</v>
      </c>
      <c r="F20" s="58">
        <f>E18*E20</f>
        <v>535.4</v>
      </c>
      <c r="G20" s="45"/>
      <c r="M20" s="47"/>
    </row>
    <row r="21">
      <c r="A21" s="21" t="s">
        <v>61</v>
      </c>
      <c r="B21" s="23">
        <v>404.04</v>
      </c>
      <c r="C21" s="50"/>
      <c r="D21" s="74" t="s">
        <v>87</v>
      </c>
      <c r="E21" s="60">
        <v>0.2</v>
      </c>
      <c r="F21" s="58">
        <f>E18*E21</f>
        <v>2141.6</v>
      </c>
      <c r="G21" s="45"/>
      <c r="M21" s="47"/>
    </row>
    <row r="22">
      <c r="A22" s="25"/>
      <c r="B22" s="26"/>
      <c r="C22" s="50"/>
      <c r="D22" s="56" t="s">
        <v>63</v>
      </c>
      <c r="E22" s="57">
        <v>0.1</v>
      </c>
      <c r="F22" s="58">
        <f>E18*E22</f>
        <v>1070.8</v>
      </c>
      <c r="G22" s="45"/>
      <c r="M22" s="47"/>
    </row>
    <row r="23">
      <c r="A23" s="25"/>
      <c r="B23" s="26"/>
      <c r="C23" s="50"/>
      <c r="D23" s="56" t="s">
        <v>64</v>
      </c>
      <c r="E23" s="60">
        <v>0.1</v>
      </c>
      <c r="F23" s="58">
        <f>E18*E23</f>
        <v>1070.8</v>
      </c>
      <c r="G23" s="45"/>
      <c r="M23" s="47"/>
    </row>
    <row r="24">
      <c r="A24" s="25"/>
      <c r="B24" s="26"/>
      <c r="C24" s="50"/>
      <c r="D24" s="62" t="s">
        <v>65</v>
      </c>
      <c r="E24" s="47"/>
      <c r="F24" s="63">
        <f>SUM(F19:F23)</f>
        <v>10708</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2291.74</v>
      </c>
      <c r="C27" s="11"/>
      <c r="D27" s="11"/>
      <c r="E27" s="11"/>
      <c r="F27" s="11"/>
      <c r="G27" s="45"/>
      <c r="H27" s="17"/>
      <c r="I27" s="17"/>
      <c r="J27" s="17"/>
      <c r="K27" s="17"/>
      <c r="L27" s="17"/>
      <c r="M27" s="18"/>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s>
  <sheetData>
    <row r="1">
      <c r="A1" s="7" t="s">
        <v>23</v>
      </c>
      <c r="B1" s="8">
        <f>F19</f>
        <v>5225</v>
      </c>
      <c r="C1" s="7" t="s">
        <v>23</v>
      </c>
      <c r="D1" s="8">
        <f>F20</f>
        <v>475</v>
      </c>
      <c r="E1" s="7" t="s">
        <v>23</v>
      </c>
      <c r="F1" s="8">
        <f>F21</f>
        <v>1900</v>
      </c>
      <c r="G1" s="7" t="s">
        <v>23</v>
      </c>
      <c r="H1" s="8">
        <f>F22</f>
        <v>950</v>
      </c>
      <c r="I1" s="7" t="s">
        <v>23</v>
      </c>
      <c r="J1" s="8">
        <f>F23</f>
        <v>950</v>
      </c>
      <c r="K1" s="9" t="s">
        <v>24</v>
      </c>
      <c r="L1" s="10">
        <f t="shared" ref="L1:L2" si="1">SUM(B1,D1,F1,H1,J1)</f>
        <v>9500</v>
      </c>
      <c r="M1" s="11"/>
    </row>
    <row r="2">
      <c r="A2" s="12" t="s">
        <v>25</v>
      </c>
      <c r="B2" s="13">
        <f>B1-B27</f>
        <v>-5363.21</v>
      </c>
      <c r="C2" s="12" t="s">
        <v>25</v>
      </c>
      <c r="D2" s="13">
        <f>D1-D15</f>
        <v>350.95</v>
      </c>
      <c r="E2" s="12" t="s">
        <v>25</v>
      </c>
      <c r="F2" s="13">
        <f>F1-F15</f>
        <v>1321</v>
      </c>
      <c r="G2" s="12" t="s">
        <v>25</v>
      </c>
      <c r="H2" s="13">
        <f>H1-H15</f>
        <v>950</v>
      </c>
      <c r="I2" s="12" t="s">
        <v>25</v>
      </c>
      <c r="J2" s="13">
        <f>J1-J15</f>
        <v>950</v>
      </c>
      <c r="K2" s="14" t="s">
        <v>26</v>
      </c>
      <c r="L2" s="15">
        <f t="shared" si="1"/>
        <v>-1791.26</v>
      </c>
      <c r="M2" s="11"/>
    </row>
    <row r="3">
      <c r="A3" s="16" t="s">
        <v>27</v>
      </c>
      <c r="B3" s="17"/>
      <c r="C3" s="71" t="s">
        <v>77</v>
      </c>
      <c r="D3" s="18"/>
      <c r="E3" s="71" t="s">
        <v>80</v>
      </c>
      <c r="F3" s="18"/>
      <c r="G3" s="16" t="s">
        <v>30</v>
      </c>
      <c r="H3" s="18"/>
      <c r="I3" s="16" t="s">
        <v>31</v>
      </c>
      <c r="J3" s="18"/>
      <c r="M3" s="11"/>
    </row>
    <row r="4">
      <c r="A4" s="27" t="s">
        <v>32</v>
      </c>
      <c r="B4" s="20">
        <v>127.0</v>
      </c>
      <c r="C4" s="27" t="s">
        <v>34</v>
      </c>
      <c r="D4" s="20">
        <v>14.0</v>
      </c>
      <c r="E4" s="27" t="s">
        <v>42</v>
      </c>
      <c r="F4" s="20">
        <v>279.0</v>
      </c>
      <c r="G4" s="21"/>
      <c r="H4" s="22"/>
      <c r="I4" s="25"/>
      <c r="J4" s="26"/>
      <c r="K4" s="11"/>
      <c r="L4" s="11"/>
      <c r="M4" s="11"/>
    </row>
    <row r="5">
      <c r="A5" s="27" t="s">
        <v>35</v>
      </c>
      <c r="B5" s="20">
        <v>95.0</v>
      </c>
      <c r="C5" s="27" t="s">
        <v>36</v>
      </c>
      <c r="D5" s="20">
        <v>18.65</v>
      </c>
      <c r="E5" s="27" t="s">
        <v>99</v>
      </c>
      <c r="F5" s="20">
        <v>300.0</v>
      </c>
      <c r="G5" s="25"/>
      <c r="H5" s="26"/>
      <c r="I5" s="25"/>
      <c r="J5" s="26"/>
      <c r="K5" s="11"/>
      <c r="L5" s="11"/>
      <c r="M5" s="11"/>
    </row>
    <row r="6">
      <c r="A6" s="27" t="s">
        <v>37</v>
      </c>
      <c r="B6" s="20">
        <v>139.64</v>
      </c>
      <c r="C6" s="27" t="s">
        <v>100</v>
      </c>
      <c r="D6" s="20">
        <v>59.9</v>
      </c>
      <c r="E6" s="21"/>
      <c r="F6" s="23"/>
      <c r="G6" s="25"/>
      <c r="H6" s="26"/>
      <c r="I6" s="25"/>
      <c r="J6" s="26"/>
      <c r="K6" s="11"/>
      <c r="L6" s="28"/>
      <c r="M6" s="11"/>
    </row>
    <row r="7">
      <c r="A7" s="27" t="s">
        <v>91</v>
      </c>
      <c r="B7" s="20">
        <v>239.0</v>
      </c>
      <c r="C7" s="27" t="s">
        <v>40</v>
      </c>
      <c r="D7" s="20">
        <v>19.9</v>
      </c>
      <c r="E7" s="21"/>
      <c r="F7" s="23"/>
      <c r="G7" s="25"/>
      <c r="H7" s="26"/>
      <c r="I7" s="25"/>
      <c r="J7" s="26"/>
      <c r="K7" s="11"/>
      <c r="L7" s="28"/>
      <c r="M7" s="11"/>
    </row>
    <row r="8">
      <c r="A8" s="27" t="s">
        <v>92</v>
      </c>
      <c r="B8" s="20">
        <v>239.0</v>
      </c>
      <c r="C8" s="27" t="s">
        <v>44</v>
      </c>
      <c r="D8" s="20">
        <v>11.6</v>
      </c>
      <c r="E8" s="31"/>
      <c r="F8" s="26"/>
      <c r="G8" s="25"/>
      <c r="H8" s="26"/>
      <c r="I8" s="25"/>
      <c r="J8" s="26"/>
      <c r="K8" s="28"/>
      <c r="L8" s="28"/>
      <c r="M8" s="11"/>
    </row>
    <row r="9">
      <c r="A9" s="27" t="s">
        <v>43</v>
      </c>
      <c r="B9" s="20">
        <v>352.5</v>
      </c>
      <c r="C9" s="27" t="s">
        <v>101</v>
      </c>
      <c r="D9" s="20">
        <v>0.0</v>
      </c>
      <c r="E9" s="31"/>
      <c r="F9" s="26"/>
      <c r="G9" s="25"/>
      <c r="H9" s="26"/>
      <c r="I9" s="25"/>
      <c r="J9" s="26"/>
      <c r="K9" s="11"/>
      <c r="L9" s="66"/>
      <c r="M9" s="11"/>
    </row>
    <row r="10">
      <c r="A10" s="73" t="s">
        <v>102</v>
      </c>
      <c r="B10" s="20">
        <v>150.0</v>
      </c>
      <c r="C10" s="27" t="s">
        <v>103</v>
      </c>
      <c r="D10" s="20">
        <v>0.0</v>
      </c>
      <c r="E10" s="25"/>
      <c r="F10" s="26"/>
      <c r="G10" s="25"/>
      <c r="H10" s="26"/>
      <c r="I10" s="25"/>
      <c r="J10" s="26"/>
      <c r="K10" s="11"/>
      <c r="L10" s="66"/>
      <c r="M10" s="11"/>
    </row>
    <row r="11">
      <c r="A11" s="27" t="s">
        <v>104</v>
      </c>
      <c r="B11" s="20">
        <v>74.0</v>
      </c>
      <c r="C11" s="21"/>
      <c r="D11" s="23"/>
      <c r="E11" s="31"/>
      <c r="F11" s="26"/>
      <c r="G11" s="31"/>
      <c r="H11" s="26"/>
      <c r="I11" s="25"/>
      <c r="J11" s="26"/>
      <c r="K11" s="11"/>
      <c r="L11" s="66"/>
      <c r="M11" s="11"/>
    </row>
    <row r="12">
      <c r="A12" s="32"/>
      <c r="B12" s="33"/>
      <c r="C12" s="21"/>
      <c r="D12" s="23"/>
      <c r="E12" s="31"/>
      <c r="F12" s="26"/>
      <c r="G12" s="31"/>
      <c r="H12" s="26"/>
      <c r="I12" s="31"/>
      <c r="J12" s="26"/>
      <c r="K12" s="11"/>
      <c r="L12" s="28"/>
      <c r="M12" s="11"/>
    </row>
    <row r="13">
      <c r="A13" s="31"/>
      <c r="B13" s="23"/>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1416.14</v>
      </c>
      <c r="C15" s="25" t="s">
        <v>50</v>
      </c>
      <c r="D15" s="26">
        <f>SUM(D4:D14)</f>
        <v>124.05</v>
      </c>
      <c r="E15" s="39" t="s">
        <v>50</v>
      </c>
      <c r="F15" s="40">
        <f>SUM(F4:F14)</f>
        <v>579</v>
      </c>
      <c r="G15" s="39" t="s">
        <v>50</v>
      </c>
      <c r="H15" s="40">
        <f>SUM(H4:H14)</f>
        <v>0</v>
      </c>
      <c r="I15" s="39" t="s">
        <v>50</v>
      </c>
      <c r="J15" s="40">
        <f>SUM(J4:J14)</f>
        <v>0</v>
      </c>
      <c r="K15" s="11"/>
      <c r="L15" s="11"/>
      <c r="M15" s="11"/>
    </row>
    <row r="16">
      <c r="A16" s="41" t="s">
        <v>51</v>
      </c>
      <c r="B16" s="17"/>
      <c r="C16" s="11"/>
      <c r="D16" s="42"/>
      <c r="E16" s="42"/>
      <c r="F16" s="42"/>
      <c r="G16" s="11"/>
      <c r="H16" s="42"/>
      <c r="I16" s="42"/>
      <c r="J16" s="42"/>
      <c r="K16" s="42"/>
      <c r="L16" s="42"/>
      <c r="M16" s="42"/>
    </row>
    <row r="17">
      <c r="A17" s="27" t="s">
        <v>52</v>
      </c>
      <c r="B17" s="20">
        <v>1661.83</v>
      </c>
      <c r="C17" s="50"/>
      <c r="D17" s="44" t="s">
        <v>53</v>
      </c>
      <c r="E17" s="17"/>
      <c r="F17" s="18"/>
      <c r="G17" s="45"/>
      <c r="H17" s="46" t="s">
        <v>54</v>
      </c>
      <c r="M17" s="47"/>
    </row>
    <row r="18">
      <c r="A18" s="27" t="s">
        <v>55</v>
      </c>
      <c r="B18" s="20">
        <v>1405.0</v>
      </c>
      <c r="C18" s="50"/>
      <c r="D18" s="51" t="s">
        <v>56</v>
      </c>
      <c r="E18" s="52">
        <v>9500.0</v>
      </c>
      <c r="F18" s="18"/>
      <c r="G18" s="45"/>
      <c r="M18" s="47"/>
    </row>
    <row r="19">
      <c r="A19" s="27" t="s">
        <v>57</v>
      </c>
      <c r="B19" s="20">
        <v>2218.39</v>
      </c>
      <c r="C19" s="55"/>
      <c r="D19" s="56" t="s">
        <v>58</v>
      </c>
      <c r="E19" s="57">
        <v>0.55</v>
      </c>
      <c r="F19" s="58">
        <f>E18*E19</f>
        <v>5225</v>
      </c>
      <c r="G19" s="45"/>
      <c r="M19" s="47"/>
    </row>
    <row r="20">
      <c r="A20" s="27" t="s">
        <v>59</v>
      </c>
      <c r="B20" s="20">
        <v>1515.55</v>
      </c>
      <c r="C20" s="50"/>
      <c r="D20" s="74" t="s">
        <v>79</v>
      </c>
      <c r="E20" s="60">
        <v>0.05</v>
      </c>
      <c r="F20" s="58">
        <f>E18*E20</f>
        <v>475</v>
      </c>
      <c r="G20" s="45"/>
      <c r="M20" s="47"/>
    </row>
    <row r="21">
      <c r="A21" s="27" t="s">
        <v>61</v>
      </c>
      <c r="B21" s="20">
        <v>2371.3</v>
      </c>
      <c r="C21" s="50"/>
      <c r="D21" s="74" t="s">
        <v>87</v>
      </c>
      <c r="E21" s="60">
        <v>0.2</v>
      </c>
      <c r="F21" s="58">
        <f>E18*E21</f>
        <v>1900</v>
      </c>
      <c r="G21" s="45"/>
      <c r="M21" s="47"/>
    </row>
    <row r="22">
      <c r="A22" s="25"/>
      <c r="B22" s="26"/>
      <c r="C22" s="50"/>
      <c r="D22" s="56" t="s">
        <v>63</v>
      </c>
      <c r="E22" s="57">
        <v>0.1</v>
      </c>
      <c r="F22" s="58">
        <f>E18*E22</f>
        <v>950</v>
      </c>
      <c r="G22" s="45"/>
      <c r="M22" s="47"/>
    </row>
    <row r="23">
      <c r="A23" s="25"/>
      <c r="B23" s="26"/>
      <c r="C23" s="50"/>
      <c r="D23" s="56" t="s">
        <v>64</v>
      </c>
      <c r="E23" s="60">
        <v>0.1</v>
      </c>
      <c r="F23" s="58">
        <f>E18*E23</f>
        <v>950</v>
      </c>
      <c r="G23" s="45"/>
      <c r="M23" s="47"/>
    </row>
    <row r="24">
      <c r="A24" s="25"/>
      <c r="B24" s="26"/>
      <c r="C24" s="50"/>
      <c r="D24" s="62" t="s">
        <v>65</v>
      </c>
      <c r="E24" s="47"/>
      <c r="F24" s="63">
        <f>SUM(F19:F23)</f>
        <v>9500</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10588.21</v>
      </c>
      <c r="C27" s="11"/>
      <c r="D27" s="11"/>
      <c r="E27" s="11"/>
      <c r="F27" s="11"/>
      <c r="G27" s="45"/>
      <c r="H27" s="17"/>
      <c r="I27" s="17"/>
      <c r="J27" s="17"/>
      <c r="K27" s="17"/>
      <c r="L27" s="17"/>
      <c r="M27" s="18"/>
    </row>
    <row r="29">
      <c r="B29" s="6">
        <f>SUM(B17:B26)</f>
        <v>9172.07</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s>
  <sheetData>
    <row r="1">
      <c r="A1" s="7" t="s">
        <v>23</v>
      </c>
      <c r="B1" s="8">
        <f>F19</f>
        <v>5225</v>
      </c>
      <c r="C1" s="7" t="s">
        <v>23</v>
      </c>
      <c r="D1" s="8">
        <f>F20</f>
        <v>475</v>
      </c>
      <c r="E1" s="7" t="s">
        <v>23</v>
      </c>
      <c r="F1" s="8">
        <f>F21</f>
        <v>1900</v>
      </c>
      <c r="G1" s="7" t="s">
        <v>23</v>
      </c>
      <c r="H1" s="8">
        <f>F22</f>
        <v>950</v>
      </c>
      <c r="I1" s="7" t="s">
        <v>23</v>
      </c>
      <c r="J1" s="8">
        <f>F23</f>
        <v>950</v>
      </c>
      <c r="K1" s="9" t="s">
        <v>24</v>
      </c>
      <c r="L1" s="10">
        <f t="shared" ref="L1:L2" si="1">SUM(B1,D1,F1,H1,J1)</f>
        <v>9500</v>
      </c>
      <c r="M1" s="11"/>
    </row>
    <row r="2">
      <c r="A2" s="12" t="s">
        <v>25</v>
      </c>
      <c r="B2" s="13">
        <f>B1-B27</f>
        <v>-6398.08</v>
      </c>
      <c r="C2" s="12" t="s">
        <v>25</v>
      </c>
      <c r="D2" s="13">
        <f>D1-D15</f>
        <v>319.95</v>
      </c>
      <c r="E2" s="12" t="s">
        <v>25</v>
      </c>
      <c r="F2" s="13">
        <f>F1-F15</f>
        <v>1321</v>
      </c>
      <c r="G2" s="12" t="s">
        <v>25</v>
      </c>
      <c r="H2" s="13">
        <f>H1-H15</f>
        <v>950</v>
      </c>
      <c r="I2" s="12" t="s">
        <v>25</v>
      </c>
      <c r="J2" s="13">
        <f>J1-J15</f>
        <v>950</v>
      </c>
      <c r="K2" s="14" t="s">
        <v>26</v>
      </c>
      <c r="L2" s="15">
        <f t="shared" si="1"/>
        <v>-2857.13</v>
      </c>
      <c r="M2" s="11"/>
    </row>
    <row r="3">
      <c r="A3" s="16" t="s">
        <v>27</v>
      </c>
      <c r="B3" s="17"/>
      <c r="C3" s="71" t="s">
        <v>77</v>
      </c>
      <c r="D3" s="18"/>
      <c r="E3" s="71" t="s">
        <v>80</v>
      </c>
      <c r="F3" s="18"/>
      <c r="G3" s="16" t="s">
        <v>30</v>
      </c>
      <c r="H3" s="18"/>
      <c r="I3" s="16" t="s">
        <v>31</v>
      </c>
      <c r="J3" s="18"/>
      <c r="M3" s="11"/>
    </row>
    <row r="4">
      <c r="A4" s="27" t="s">
        <v>32</v>
      </c>
      <c r="B4" s="20">
        <v>127.0</v>
      </c>
      <c r="C4" s="27" t="s">
        <v>34</v>
      </c>
      <c r="D4" s="20">
        <v>14.0</v>
      </c>
      <c r="E4" s="21" t="s">
        <v>82</v>
      </c>
      <c r="F4" s="23"/>
      <c r="G4" s="21"/>
      <c r="H4" s="22"/>
      <c r="I4" s="25"/>
      <c r="J4" s="26"/>
      <c r="K4" s="11"/>
      <c r="L4" s="11"/>
      <c r="M4" s="11"/>
    </row>
    <row r="5">
      <c r="A5" s="27" t="s">
        <v>35</v>
      </c>
      <c r="B5" s="20">
        <v>95.0</v>
      </c>
      <c r="C5" s="27" t="s">
        <v>36</v>
      </c>
      <c r="D5" s="20">
        <v>18.65</v>
      </c>
      <c r="E5" s="27" t="s">
        <v>42</v>
      </c>
      <c r="F5" s="20">
        <v>279.0</v>
      </c>
      <c r="G5" s="25"/>
      <c r="H5" s="26"/>
      <c r="I5" s="25"/>
      <c r="J5" s="26"/>
      <c r="K5" s="11"/>
      <c r="L5" s="11"/>
      <c r="M5" s="11"/>
    </row>
    <row r="6">
      <c r="A6" s="27" t="s">
        <v>37</v>
      </c>
      <c r="B6" s="20">
        <v>139.64</v>
      </c>
      <c r="C6" s="27" t="s">
        <v>100</v>
      </c>
      <c r="D6" s="20">
        <v>55.9</v>
      </c>
      <c r="E6" s="27" t="s">
        <v>99</v>
      </c>
      <c r="F6" s="20">
        <v>300.0</v>
      </c>
      <c r="G6" s="25"/>
      <c r="H6" s="26"/>
      <c r="I6" s="25"/>
      <c r="J6" s="26"/>
      <c r="K6" s="11"/>
      <c r="L6" s="28"/>
      <c r="M6" s="11"/>
    </row>
    <row r="7">
      <c r="A7" s="27" t="s">
        <v>91</v>
      </c>
      <c r="B7" s="20">
        <v>212.0</v>
      </c>
      <c r="C7" s="27" t="s">
        <v>40</v>
      </c>
      <c r="D7" s="20">
        <v>19.9</v>
      </c>
      <c r="E7" s="21"/>
      <c r="F7" s="23"/>
      <c r="G7" s="25"/>
      <c r="H7" s="26"/>
      <c r="I7" s="25"/>
      <c r="J7" s="26"/>
      <c r="K7" s="11"/>
      <c r="L7" s="28"/>
      <c r="M7" s="11"/>
    </row>
    <row r="8">
      <c r="A8" s="27" t="s">
        <v>92</v>
      </c>
      <c r="B8" s="20">
        <v>246.0</v>
      </c>
      <c r="C8" s="27" t="s">
        <v>44</v>
      </c>
      <c r="D8" s="20">
        <v>11.6</v>
      </c>
      <c r="E8" s="31"/>
      <c r="F8" s="26"/>
      <c r="G8" s="25"/>
      <c r="H8" s="26"/>
      <c r="I8" s="25"/>
      <c r="J8" s="26"/>
      <c r="K8" s="28"/>
      <c r="L8" s="28"/>
      <c r="M8" s="11"/>
    </row>
    <row r="9">
      <c r="A9" s="27" t="s">
        <v>43</v>
      </c>
      <c r="B9" s="20">
        <v>352.5</v>
      </c>
      <c r="C9" s="27" t="s">
        <v>101</v>
      </c>
      <c r="D9" s="20">
        <v>35.0</v>
      </c>
      <c r="E9" s="31"/>
      <c r="F9" s="26"/>
      <c r="G9" s="25"/>
      <c r="H9" s="26"/>
      <c r="I9" s="25"/>
      <c r="J9" s="26"/>
      <c r="K9" s="11"/>
      <c r="L9" s="66"/>
      <c r="M9" s="11"/>
    </row>
    <row r="10">
      <c r="A10" s="73" t="s">
        <v>102</v>
      </c>
      <c r="B10" s="20">
        <v>150.0</v>
      </c>
      <c r="C10" s="21" t="s">
        <v>103</v>
      </c>
      <c r="D10" s="23">
        <v>0.0</v>
      </c>
      <c r="E10" s="25"/>
      <c r="F10" s="26"/>
      <c r="G10" s="25"/>
      <c r="H10" s="26"/>
      <c r="I10" s="25"/>
      <c r="J10" s="26"/>
      <c r="K10" s="11"/>
      <c r="L10" s="66"/>
      <c r="M10" s="11"/>
    </row>
    <row r="11">
      <c r="A11" s="27" t="s">
        <v>104</v>
      </c>
      <c r="B11" s="20">
        <v>74.0</v>
      </c>
      <c r="C11" s="21"/>
      <c r="D11" s="23"/>
      <c r="E11" s="31"/>
      <c r="F11" s="26"/>
      <c r="G11" s="31"/>
      <c r="H11" s="26"/>
      <c r="I11" s="25"/>
      <c r="J11" s="26"/>
      <c r="K11" s="11"/>
      <c r="L11" s="66"/>
      <c r="M11" s="11"/>
    </row>
    <row r="12">
      <c r="A12" s="32"/>
      <c r="B12" s="33"/>
      <c r="C12" s="21"/>
      <c r="D12" s="23"/>
      <c r="E12" s="31"/>
      <c r="F12" s="26"/>
      <c r="G12" s="31"/>
      <c r="H12" s="26"/>
      <c r="I12" s="31"/>
      <c r="J12" s="26"/>
      <c r="K12" s="11"/>
      <c r="L12" s="28"/>
      <c r="M12" s="11"/>
    </row>
    <row r="13">
      <c r="A13" s="31"/>
      <c r="B13" s="23"/>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1396.14</v>
      </c>
      <c r="C15" s="25" t="s">
        <v>50</v>
      </c>
      <c r="D15" s="26">
        <f>SUM(D4:D14)</f>
        <v>155.05</v>
      </c>
      <c r="E15" s="39" t="s">
        <v>50</v>
      </c>
      <c r="F15" s="40">
        <f>SUM(F4:F14)</f>
        <v>579</v>
      </c>
      <c r="G15" s="39" t="s">
        <v>50</v>
      </c>
      <c r="H15" s="40">
        <f>SUM(H4:H14)</f>
        <v>0</v>
      </c>
      <c r="I15" s="39" t="s">
        <v>50</v>
      </c>
      <c r="J15" s="40">
        <f>SUM(J4:J14)</f>
        <v>0</v>
      </c>
      <c r="K15" s="11"/>
      <c r="L15" s="11"/>
      <c r="M15" s="11"/>
    </row>
    <row r="16">
      <c r="A16" s="41" t="s">
        <v>51</v>
      </c>
      <c r="B16" s="17"/>
      <c r="C16" s="11"/>
      <c r="D16" s="42"/>
      <c r="E16" s="42"/>
      <c r="F16" s="42"/>
      <c r="G16" s="11"/>
      <c r="H16" s="42"/>
      <c r="I16" s="42"/>
      <c r="J16" s="42"/>
      <c r="K16" s="42"/>
      <c r="L16" s="42"/>
      <c r="M16" s="42"/>
    </row>
    <row r="17">
      <c r="A17" s="27" t="s">
        <v>52</v>
      </c>
      <c r="B17" s="20">
        <v>1814.71</v>
      </c>
      <c r="C17" s="78">
        <v>45674.0</v>
      </c>
      <c r="D17" s="44" t="s">
        <v>53</v>
      </c>
      <c r="E17" s="17"/>
      <c r="F17" s="18"/>
      <c r="G17" s="45"/>
      <c r="H17" s="79" t="s">
        <v>105</v>
      </c>
      <c r="M17" s="47"/>
    </row>
    <row r="18">
      <c r="A18" s="27" t="s">
        <v>55</v>
      </c>
      <c r="B18" s="20">
        <v>2060.0</v>
      </c>
      <c r="C18" s="78">
        <v>45681.0</v>
      </c>
      <c r="D18" s="51" t="s">
        <v>56</v>
      </c>
      <c r="E18" s="52">
        <v>9500.0</v>
      </c>
      <c r="F18" s="18"/>
      <c r="G18" s="45"/>
      <c r="M18" s="47"/>
      <c r="N18" s="80">
        <v>45664.0</v>
      </c>
      <c r="O18" s="81">
        <v>6303.68</v>
      </c>
    </row>
    <row r="19">
      <c r="A19" s="27" t="s">
        <v>57</v>
      </c>
      <c r="B19" s="20"/>
      <c r="C19" s="50" t="s">
        <v>106</v>
      </c>
      <c r="D19" s="56" t="s">
        <v>58</v>
      </c>
      <c r="E19" s="57">
        <v>0.55</v>
      </c>
      <c r="F19" s="58">
        <f>E18*E19</f>
        <v>5225</v>
      </c>
      <c r="G19" s="45"/>
      <c r="M19" s="47"/>
      <c r="N19" s="80">
        <v>45674.0</v>
      </c>
      <c r="O19" s="81">
        <v>8671.0</v>
      </c>
    </row>
    <row r="20">
      <c r="A20" s="27" t="s">
        <v>59</v>
      </c>
      <c r="B20" s="20">
        <v>1623.23</v>
      </c>
      <c r="C20" s="78">
        <v>45681.0</v>
      </c>
      <c r="D20" s="74" t="s">
        <v>79</v>
      </c>
      <c r="E20" s="60">
        <v>0.05</v>
      </c>
      <c r="F20" s="58">
        <f>E18*E20</f>
        <v>475</v>
      </c>
      <c r="G20" s="45"/>
      <c r="M20" s="47"/>
    </row>
    <row r="21">
      <c r="A21" s="27" t="s">
        <v>61</v>
      </c>
      <c r="B21" s="20">
        <v>3918.0</v>
      </c>
      <c r="C21" s="78">
        <v>45681.0</v>
      </c>
      <c r="D21" s="74" t="s">
        <v>87</v>
      </c>
      <c r="E21" s="60">
        <v>0.2</v>
      </c>
      <c r="F21" s="58">
        <f>E18*E21</f>
        <v>1900</v>
      </c>
      <c r="G21" s="45"/>
      <c r="M21" s="47"/>
      <c r="N21" s="82" t="s">
        <v>107</v>
      </c>
      <c r="O21" s="6">
        <f>O19-O18</f>
        <v>2367.32</v>
      </c>
    </row>
    <row r="22">
      <c r="A22" s="27" t="s">
        <v>108</v>
      </c>
      <c r="B22" s="20">
        <v>811.0</v>
      </c>
      <c r="C22" s="78">
        <v>45681.0</v>
      </c>
      <c r="D22" s="56" t="s">
        <v>63</v>
      </c>
      <c r="E22" s="57">
        <v>0.1</v>
      </c>
      <c r="F22" s="58">
        <f>E18*E22</f>
        <v>950</v>
      </c>
      <c r="G22" s="45"/>
      <c r="M22" s="47"/>
    </row>
    <row r="23">
      <c r="A23" s="25"/>
      <c r="B23" s="26"/>
      <c r="C23" s="50"/>
      <c r="D23" s="56" t="s">
        <v>64</v>
      </c>
      <c r="E23" s="60">
        <v>0.1</v>
      </c>
      <c r="F23" s="58">
        <f>E18*E23</f>
        <v>950</v>
      </c>
      <c r="G23" s="45"/>
      <c r="M23" s="47"/>
      <c r="O23" s="6"/>
    </row>
    <row r="24">
      <c r="A24" s="25"/>
      <c r="B24" s="26"/>
      <c r="C24" s="50"/>
      <c r="D24" s="62" t="s">
        <v>65</v>
      </c>
      <c r="E24" s="47"/>
      <c r="F24" s="63">
        <f>SUM(F19:F23)</f>
        <v>9500</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11623.08</v>
      </c>
      <c r="C27" s="11"/>
      <c r="D27" s="11"/>
      <c r="E27" s="11"/>
      <c r="F27" s="11"/>
      <c r="G27" s="45"/>
      <c r="H27" s="17"/>
      <c r="I27" s="17"/>
      <c r="J27" s="17"/>
      <c r="K27" s="17"/>
      <c r="L27" s="17"/>
      <c r="M27" s="18"/>
    </row>
    <row r="30">
      <c r="B30" s="6">
        <f>SUM(B17:B26)</f>
        <v>10226.94</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s>
  <sheetData>
    <row r="1">
      <c r="A1" s="7" t="s">
        <v>23</v>
      </c>
      <c r="B1" s="8">
        <f>F19</f>
        <v>4795.45</v>
      </c>
      <c r="C1" s="7" t="s">
        <v>23</v>
      </c>
      <c r="D1" s="8">
        <f>F20</f>
        <v>435.95</v>
      </c>
      <c r="E1" s="7" t="s">
        <v>23</v>
      </c>
      <c r="F1" s="8">
        <f>F21</f>
        <v>1743.8</v>
      </c>
      <c r="G1" s="7" t="s">
        <v>23</v>
      </c>
      <c r="H1" s="8">
        <f>F22</f>
        <v>871.9</v>
      </c>
      <c r="I1" s="7" t="s">
        <v>23</v>
      </c>
      <c r="J1" s="8">
        <f>F23</f>
        <v>871.9</v>
      </c>
      <c r="K1" s="9" t="s">
        <v>24</v>
      </c>
      <c r="L1" s="10">
        <f t="shared" ref="L1:L2" si="1">SUM(B1,D1,F1,H1,J1)</f>
        <v>8719</v>
      </c>
      <c r="M1" s="11"/>
    </row>
    <row r="2">
      <c r="A2" s="12" t="s">
        <v>25</v>
      </c>
      <c r="B2" s="13">
        <f>B1-B27</f>
        <v>-6145.69</v>
      </c>
      <c r="C2" s="12" t="s">
        <v>25</v>
      </c>
      <c r="D2" s="13">
        <f>D1-D15</f>
        <v>315.9</v>
      </c>
      <c r="E2" s="12" t="s">
        <v>25</v>
      </c>
      <c r="F2" s="13">
        <f>F1-F15</f>
        <v>877.8</v>
      </c>
      <c r="G2" s="12" t="s">
        <v>25</v>
      </c>
      <c r="H2" s="13">
        <f>H1-H15</f>
        <v>871.9</v>
      </c>
      <c r="I2" s="12" t="s">
        <v>25</v>
      </c>
      <c r="J2" s="13">
        <f>J1-J15</f>
        <v>871.9</v>
      </c>
      <c r="K2" s="14" t="s">
        <v>26</v>
      </c>
      <c r="L2" s="15">
        <f t="shared" si="1"/>
        <v>-3208.19</v>
      </c>
      <c r="M2" s="11"/>
    </row>
    <row r="3">
      <c r="A3" s="16" t="s">
        <v>27</v>
      </c>
      <c r="B3" s="17"/>
      <c r="C3" s="71" t="s">
        <v>77</v>
      </c>
      <c r="D3" s="18"/>
      <c r="E3" s="71" t="s">
        <v>80</v>
      </c>
      <c r="F3" s="18"/>
      <c r="G3" s="16" t="s">
        <v>30</v>
      </c>
      <c r="H3" s="18"/>
      <c r="I3" s="16" t="s">
        <v>31</v>
      </c>
      <c r="J3" s="18"/>
      <c r="M3" s="11"/>
    </row>
    <row r="4">
      <c r="A4" s="27" t="s">
        <v>32</v>
      </c>
      <c r="B4" s="20">
        <v>127.0</v>
      </c>
      <c r="C4" s="27" t="s">
        <v>34</v>
      </c>
      <c r="D4" s="20">
        <v>14.0</v>
      </c>
      <c r="E4" s="27" t="s">
        <v>109</v>
      </c>
      <c r="F4" s="20">
        <v>197.0</v>
      </c>
      <c r="G4" s="21"/>
      <c r="H4" s="22"/>
      <c r="I4" s="25"/>
      <c r="J4" s="26"/>
      <c r="K4" s="11"/>
      <c r="L4" s="11"/>
      <c r="M4" s="11"/>
    </row>
    <row r="5">
      <c r="A5" s="27" t="s">
        <v>35</v>
      </c>
      <c r="B5" s="20">
        <v>95.0</v>
      </c>
      <c r="C5" s="27" t="s">
        <v>36</v>
      </c>
      <c r="D5" s="20">
        <v>18.65</v>
      </c>
      <c r="E5" s="27" t="s">
        <v>42</v>
      </c>
      <c r="F5" s="20">
        <v>279.0</v>
      </c>
      <c r="G5" s="25"/>
      <c r="H5" s="26"/>
      <c r="I5" s="25"/>
      <c r="J5" s="26"/>
      <c r="K5" s="11"/>
      <c r="L5" s="11"/>
      <c r="M5" s="11"/>
    </row>
    <row r="6">
      <c r="A6" s="27" t="s">
        <v>37</v>
      </c>
      <c r="B6" s="20">
        <v>139.64</v>
      </c>
      <c r="C6" s="27" t="s">
        <v>100</v>
      </c>
      <c r="D6" s="20">
        <v>55.9</v>
      </c>
      <c r="E6" s="27" t="s">
        <v>99</v>
      </c>
      <c r="F6" s="20">
        <v>150.0</v>
      </c>
      <c r="G6" s="25"/>
      <c r="H6" s="26"/>
      <c r="I6" s="25"/>
      <c r="J6" s="26"/>
      <c r="K6" s="11"/>
      <c r="L6" s="28"/>
      <c r="M6" s="11"/>
    </row>
    <row r="7">
      <c r="A7" s="27" t="s">
        <v>91</v>
      </c>
      <c r="B7" s="20">
        <v>212.0</v>
      </c>
      <c r="C7" s="27" t="s">
        <v>40</v>
      </c>
      <c r="D7" s="20">
        <v>19.9</v>
      </c>
      <c r="E7" s="27" t="s">
        <v>110</v>
      </c>
      <c r="F7" s="20">
        <v>140.0</v>
      </c>
      <c r="G7" s="25"/>
      <c r="H7" s="26"/>
      <c r="I7" s="25"/>
      <c r="J7" s="26"/>
      <c r="K7" s="11"/>
      <c r="L7" s="28"/>
      <c r="M7" s="11"/>
    </row>
    <row r="8">
      <c r="A8" s="27" t="s">
        <v>92</v>
      </c>
      <c r="B8" s="20">
        <v>246.0</v>
      </c>
      <c r="C8" s="27" t="s">
        <v>44</v>
      </c>
      <c r="D8" s="20">
        <v>11.6</v>
      </c>
      <c r="E8" s="21" t="s">
        <v>111</v>
      </c>
      <c r="F8" s="23">
        <v>100.0</v>
      </c>
      <c r="G8" s="25"/>
      <c r="H8" s="26"/>
      <c r="I8" s="25"/>
      <c r="J8" s="26"/>
      <c r="K8" s="28"/>
      <c r="L8" s="28"/>
      <c r="M8" s="11"/>
    </row>
    <row r="9">
      <c r="A9" s="27" t="s">
        <v>43</v>
      </c>
      <c r="B9" s="20">
        <v>352.5</v>
      </c>
      <c r="C9" s="21" t="s">
        <v>101</v>
      </c>
      <c r="D9" s="23"/>
      <c r="E9" s="31"/>
      <c r="F9" s="26"/>
      <c r="G9" s="25"/>
      <c r="H9" s="26"/>
      <c r="I9" s="25"/>
      <c r="J9" s="26"/>
      <c r="K9" s="11"/>
      <c r="L9" s="66"/>
      <c r="M9" s="11"/>
    </row>
    <row r="10">
      <c r="A10" s="76" t="s">
        <v>102</v>
      </c>
      <c r="B10" s="23">
        <v>150.0</v>
      </c>
      <c r="C10" s="21" t="s">
        <v>112</v>
      </c>
      <c r="D10" s="23"/>
      <c r="E10" s="25"/>
      <c r="F10" s="26"/>
      <c r="G10" s="25"/>
      <c r="H10" s="26"/>
      <c r="I10" s="25"/>
      <c r="J10" s="26"/>
      <c r="K10" s="11"/>
      <c r="L10" s="66"/>
      <c r="M10" s="11"/>
    </row>
    <row r="11">
      <c r="A11" s="21" t="s">
        <v>104</v>
      </c>
      <c r="B11" s="23">
        <v>74.0</v>
      </c>
      <c r="C11" s="21"/>
      <c r="D11" s="23"/>
      <c r="E11" s="31"/>
      <c r="F11" s="26"/>
      <c r="G11" s="31"/>
      <c r="H11" s="26"/>
      <c r="I11" s="25"/>
      <c r="J11" s="26"/>
      <c r="K11" s="11"/>
      <c r="L11" s="66"/>
      <c r="M11" s="11"/>
    </row>
    <row r="12">
      <c r="A12" s="32"/>
      <c r="B12" s="33"/>
      <c r="C12" s="21"/>
      <c r="D12" s="23"/>
      <c r="E12" s="31"/>
      <c r="F12" s="26"/>
      <c r="G12" s="31"/>
      <c r="H12" s="26"/>
      <c r="I12" s="31"/>
      <c r="J12" s="26"/>
      <c r="K12" s="11"/>
      <c r="L12" s="28"/>
      <c r="M12" s="11"/>
    </row>
    <row r="13">
      <c r="A13" s="31"/>
      <c r="B13" s="23"/>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1396.14</v>
      </c>
      <c r="C15" s="25" t="s">
        <v>50</v>
      </c>
      <c r="D15" s="26">
        <f>SUM(D4:D14)</f>
        <v>120.05</v>
      </c>
      <c r="E15" s="39" t="s">
        <v>50</v>
      </c>
      <c r="F15" s="40">
        <f>SUM(F4:F14)</f>
        <v>866</v>
      </c>
      <c r="G15" s="39" t="s">
        <v>50</v>
      </c>
      <c r="H15" s="40">
        <f>SUM(H4:H14)</f>
        <v>0</v>
      </c>
      <c r="I15" s="39" t="s">
        <v>50</v>
      </c>
      <c r="J15" s="40">
        <f>SUM(J4:J14)</f>
        <v>0</v>
      </c>
      <c r="K15" s="11"/>
      <c r="L15" s="11"/>
      <c r="M15" s="11"/>
    </row>
    <row r="16">
      <c r="A16" s="41" t="s">
        <v>51</v>
      </c>
      <c r="B16" s="17"/>
      <c r="C16" s="11"/>
      <c r="D16" s="42"/>
      <c r="E16" s="42"/>
      <c r="F16" s="42"/>
      <c r="G16" s="11"/>
      <c r="H16" s="42"/>
      <c r="I16" s="42"/>
      <c r="J16" s="42"/>
      <c r="K16" s="42"/>
      <c r="L16" s="42"/>
      <c r="M16" s="42"/>
    </row>
    <row r="17">
      <c r="A17" s="27" t="s">
        <v>52</v>
      </c>
      <c r="B17" s="20">
        <v>1703.0</v>
      </c>
      <c r="C17" s="50"/>
      <c r="D17" s="44" t="s">
        <v>53</v>
      </c>
      <c r="E17" s="17"/>
      <c r="F17" s="18"/>
      <c r="G17" s="45"/>
      <c r="H17" s="46" t="s">
        <v>113</v>
      </c>
      <c r="M17" s="47"/>
    </row>
    <row r="18">
      <c r="A18" s="27" t="s">
        <v>55</v>
      </c>
      <c r="B18" s="20">
        <v>1227.0</v>
      </c>
      <c r="C18" s="78"/>
      <c r="D18" s="51" t="s">
        <v>56</v>
      </c>
      <c r="E18" s="52">
        <v>8719.0</v>
      </c>
      <c r="F18" s="18"/>
      <c r="G18" s="45"/>
      <c r="M18" s="47"/>
    </row>
    <row r="19">
      <c r="A19" s="27" t="s">
        <v>57</v>
      </c>
      <c r="B19" s="20">
        <v>1371.0</v>
      </c>
      <c r="C19" s="78"/>
      <c r="D19" s="56" t="s">
        <v>58</v>
      </c>
      <c r="E19" s="57">
        <v>0.55</v>
      </c>
      <c r="F19" s="58">
        <f>E18*E19</f>
        <v>4795.45</v>
      </c>
      <c r="G19" s="45"/>
      <c r="M19" s="47"/>
    </row>
    <row r="20">
      <c r="A20" s="27" t="s">
        <v>59</v>
      </c>
      <c r="B20" s="20">
        <v>1487.0</v>
      </c>
      <c r="C20" s="78"/>
      <c r="D20" s="74" t="s">
        <v>79</v>
      </c>
      <c r="E20" s="60">
        <v>0.05</v>
      </c>
      <c r="F20" s="58">
        <f>E18*E20</f>
        <v>435.95</v>
      </c>
      <c r="G20" s="45"/>
      <c r="M20" s="47"/>
    </row>
    <row r="21">
      <c r="A21" s="27" t="s">
        <v>61</v>
      </c>
      <c r="B21" s="20">
        <v>2600.0</v>
      </c>
      <c r="C21" s="78"/>
      <c r="D21" s="74" t="s">
        <v>87</v>
      </c>
      <c r="E21" s="60">
        <v>0.2</v>
      </c>
      <c r="F21" s="58">
        <f>E18*E21</f>
        <v>1743.8</v>
      </c>
      <c r="G21" s="45"/>
      <c r="M21" s="47"/>
    </row>
    <row r="22">
      <c r="A22" s="27" t="s">
        <v>108</v>
      </c>
      <c r="B22" s="20">
        <v>1157.0</v>
      </c>
      <c r="C22" s="50"/>
      <c r="D22" s="56" t="s">
        <v>63</v>
      </c>
      <c r="E22" s="57">
        <v>0.1</v>
      </c>
      <c r="F22" s="58">
        <f>E18*E22</f>
        <v>871.9</v>
      </c>
      <c r="G22" s="45"/>
      <c r="M22" s="47"/>
    </row>
    <row r="23">
      <c r="A23" s="25"/>
      <c r="B23" s="26"/>
      <c r="C23" s="50"/>
      <c r="D23" s="56" t="s">
        <v>64</v>
      </c>
      <c r="E23" s="60">
        <v>0.1</v>
      </c>
      <c r="F23" s="58">
        <f>E18*E23</f>
        <v>871.9</v>
      </c>
      <c r="G23" s="45"/>
      <c r="M23" s="47"/>
    </row>
    <row r="24">
      <c r="A24" s="25"/>
      <c r="B24" s="26"/>
      <c r="C24" s="50"/>
      <c r="D24" s="62" t="s">
        <v>65</v>
      </c>
      <c r="E24" s="47"/>
      <c r="F24" s="63">
        <f>SUM(F19:F23)</f>
        <v>8719</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10941.14</v>
      </c>
      <c r="C27" s="11"/>
      <c r="D27" s="11"/>
      <c r="E27" s="11"/>
      <c r="F27" s="11"/>
      <c r="G27" s="45"/>
      <c r="H27" s="17"/>
      <c r="I27" s="17"/>
      <c r="J27" s="17"/>
      <c r="K27" s="17"/>
      <c r="L27" s="17"/>
      <c r="M27" s="18"/>
    </row>
    <row r="30">
      <c r="B30" s="6">
        <f>SUM(B17:B26)</f>
        <v>9545</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s>
  <sheetData>
    <row r="1">
      <c r="A1" s="7" t="s">
        <v>23</v>
      </c>
      <c r="B1" s="8">
        <f>F19</f>
        <v>5318.5</v>
      </c>
      <c r="C1" s="7" t="s">
        <v>23</v>
      </c>
      <c r="D1" s="8">
        <f>F20</f>
        <v>483.5</v>
      </c>
      <c r="E1" s="7" t="s">
        <v>23</v>
      </c>
      <c r="F1" s="8">
        <f>F21</f>
        <v>1934</v>
      </c>
      <c r="G1" s="7" t="s">
        <v>23</v>
      </c>
      <c r="H1" s="8">
        <f>F22</f>
        <v>967</v>
      </c>
      <c r="I1" s="7" t="s">
        <v>23</v>
      </c>
      <c r="J1" s="8">
        <f>F23</f>
        <v>967</v>
      </c>
      <c r="K1" s="9" t="s">
        <v>24</v>
      </c>
      <c r="L1" s="10">
        <f t="shared" ref="L1:L2" si="1">SUM(B1,D1,F1,H1,J1)</f>
        <v>9670</v>
      </c>
      <c r="M1" s="11"/>
    </row>
    <row r="2">
      <c r="A2" s="12" t="s">
        <v>25</v>
      </c>
      <c r="B2" s="13">
        <f>B1-B27</f>
        <v>-2760.41</v>
      </c>
      <c r="C2" s="12" t="s">
        <v>25</v>
      </c>
      <c r="D2" s="13">
        <f>D1-D15</f>
        <v>302.65</v>
      </c>
      <c r="E2" s="12" t="s">
        <v>25</v>
      </c>
      <c r="F2" s="13">
        <f>F1-F15</f>
        <v>918</v>
      </c>
      <c r="G2" s="12" t="s">
        <v>25</v>
      </c>
      <c r="H2" s="13">
        <f>H1-H15</f>
        <v>967</v>
      </c>
      <c r="I2" s="12" t="s">
        <v>25</v>
      </c>
      <c r="J2" s="13">
        <f>J1-J15</f>
        <v>967</v>
      </c>
      <c r="K2" s="14" t="s">
        <v>26</v>
      </c>
      <c r="L2" s="15">
        <f t="shared" si="1"/>
        <v>394.24</v>
      </c>
      <c r="M2" s="11"/>
    </row>
    <row r="3">
      <c r="A3" s="16" t="s">
        <v>27</v>
      </c>
      <c r="B3" s="17"/>
      <c r="C3" s="71" t="s">
        <v>77</v>
      </c>
      <c r="D3" s="18"/>
      <c r="E3" s="71" t="s">
        <v>80</v>
      </c>
      <c r="F3" s="18"/>
      <c r="G3" s="16" t="s">
        <v>30</v>
      </c>
      <c r="H3" s="18"/>
      <c r="I3" s="16" t="s">
        <v>31</v>
      </c>
      <c r="J3" s="18"/>
      <c r="M3" s="11"/>
    </row>
    <row r="4">
      <c r="A4" s="27" t="s">
        <v>32</v>
      </c>
      <c r="B4" s="20">
        <v>127.0</v>
      </c>
      <c r="C4" s="27" t="s">
        <v>34</v>
      </c>
      <c r="D4" s="20">
        <v>14.0</v>
      </c>
      <c r="E4" s="27" t="s">
        <v>114</v>
      </c>
      <c r="F4" s="20">
        <v>197.0</v>
      </c>
      <c r="G4" s="21"/>
      <c r="H4" s="22"/>
      <c r="I4" s="25"/>
      <c r="J4" s="26"/>
      <c r="K4" s="11"/>
      <c r="L4" s="11"/>
      <c r="M4" s="11"/>
    </row>
    <row r="5">
      <c r="A5" s="27" t="s">
        <v>35</v>
      </c>
      <c r="B5" s="20">
        <v>95.0</v>
      </c>
      <c r="C5" s="27" t="s">
        <v>36</v>
      </c>
      <c r="D5" s="20">
        <v>18.65</v>
      </c>
      <c r="E5" s="27" t="s">
        <v>42</v>
      </c>
      <c r="F5" s="20">
        <v>279.0</v>
      </c>
      <c r="G5" s="25"/>
      <c r="H5" s="26"/>
      <c r="I5" s="25"/>
      <c r="J5" s="26"/>
      <c r="K5" s="11"/>
      <c r="L5" s="11"/>
      <c r="M5" s="11"/>
    </row>
    <row r="6">
      <c r="A6" s="27" t="s">
        <v>37</v>
      </c>
      <c r="B6" s="20">
        <v>119.0</v>
      </c>
      <c r="C6" s="27" t="s">
        <v>100</v>
      </c>
      <c r="D6" s="20">
        <v>55.9</v>
      </c>
      <c r="E6" s="27" t="s">
        <v>99</v>
      </c>
      <c r="F6" s="20">
        <v>300.0</v>
      </c>
      <c r="G6" s="25"/>
      <c r="H6" s="26"/>
      <c r="I6" s="25"/>
      <c r="J6" s="26"/>
      <c r="K6" s="11"/>
      <c r="L6" s="28"/>
      <c r="M6" s="11"/>
    </row>
    <row r="7">
      <c r="A7" s="27" t="s">
        <v>91</v>
      </c>
      <c r="B7" s="20">
        <v>212.19</v>
      </c>
      <c r="C7" s="27" t="s">
        <v>40</v>
      </c>
      <c r="D7" s="20">
        <v>19.9</v>
      </c>
      <c r="E7" s="27" t="s">
        <v>115</v>
      </c>
      <c r="F7" s="20">
        <v>140.0</v>
      </c>
      <c r="G7" s="25"/>
      <c r="H7" s="26"/>
      <c r="I7" s="25"/>
      <c r="J7" s="26"/>
      <c r="K7" s="11"/>
      <c r="L7" s="28"/>
      <c r="M7" s="11"/>
    </row>
    <row r="8">
      <c r="A8" s="83" t="s">
        <v>92</v>
      </c>
      <c r="B8" s="84">
        <v>245.46</v>
      </c>
      <c r="C8" s="27" t="s">
        <v>44</v>
      </c>
      <c r="D8" s="20">
        <v>11.6</v>
      </c>
      <c r="E8" s="21" t="s">
        <v>116</v>
      </c>
      <c r="F8" s="23">
        <v>100.0</v>
      </c>
      <c r="G8" s="25"/>
      <c r="H8" s="26"/>
      <c r="I8" s="25"/>
      <c r="J8" s="26"/>
      <c r="K8" s="28"/>
      <c r="L8" s="28"/>
      <c r="M8" s="11"/>
    </row>
    <row r="9">
      <c r="A9" s="27" t="s">
        <v>43</v>
      </c>
      <c r="B9" s="20">
        <v>352.5</v>
      </c>
      <c r="C9" s="27" t="s">
        <v>101</v>
      </c>
      <c r="D9" s="20">
        <v>35.9</v>
      </c>
      <c r="E9" s="31"/>
      <c r="F9" s="26"/>
      <c r="G9" s="25"/>
      <c r="H9" s="26"/>
      <c r="I9" s="25"/>
      <c r="J9" s="26"/>
      <c r="K9" s="11"/>
      <c r="L9" s="66"/>
      <c r="M9" s="11"/>
    </row>
    <row r="10">
      <c r="A10" s="73" t="s">
        <v>102</v>
      </c>
      <c r="B10" s="20"/>
      <c r="C10" s="27" t="s">
        <v>117</v>
      </c>
      <c r="D10" s="20">
        <v>24.9</v>
      </c>
      <c r="E10" s="25"/>
      <c r="F10" s="26"/>
      <c r="G10" s="25"/>
      <c r="H10" s="26"/>
      <c r="I10" s="25"/>
      <c r="J10" s="26"/>
      <c r="K10" s="11"/>
      <c r="L10" s="66"/>
      <c r="M10" s="11"/>
    </row>
    <row r="11">
      <c r="A11" s="27" t="s">
        <v>104</v>
      </c>
      <c r="B11" s="20">
        <v>89.0</v>
      </c>
      <c r="C11" s="21"/>
      <c r="D11" s="23"/>
      <c r="E11" s="31"/>
      <c r="F11" s="26"/>
      <c r="G11" s="31"/>
      <c r="H11" s="26"/>
      <c r="I11" s="25"/>
      <c r="J11" s="26"/>
      <c r="K11" s="11"/>
      <c r="L11" s="66"/>
      <c r="M11" s="11"/>
    </row>
    <row r="12">
      <c r="A12" s="32"/>
      <c r="B12" s="33"/>
      <c r="C12" s="21"/>
      <c r="D12" s="23"/>
      <c r="E12" s="31"/>
      <c r="F12" s="26"/>
      <c r="G12" s="31"/>
      <c r="H12" s="26"/>
      <c r="I12" s="31"/>
      <c r="J12" s="26"/>
      <c r="K12" s="11"/>
      <c r="L12" s="28"/>
      <c r="M12" s="11"/>
    </row>
    <row r="13">
      <c r="A13" s="31"/>
      <c r="B13" s="23"/>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1240.15</v>
      </c>
      <c r="C15" s="25" t="s">
        <v>50</v>
      </c>
      <c r="D15" s="26">
        <f>SUM(D4:D14)</f>
        <v>180.85</v>
      </c>
      <c r="E15" s="39" t="s">
        <v>50</v>
      </c>
      <c r="F15" s="40">
        <f>SUM(F4:F14)</f>
        <v>1016</v>
      </c>
      <c r="G15" s="39" t="s">
        <v>50</v>
      </c>
      <c r="H15" s="40">
        <f>SUM(H4:H14)</f>
        <v>0</v>
      </c>
      <c r="I15" s="39" t="s">
        <v>50</v>
      </c>
      <c r="J15" s="40">
        <f>SUM(J4:J14)</f>
        <v>0</v>
      </c>
      <c r="K15" s="11"/>
      <c r="L15" s="11"/>
      <c r="M15" s="11"/>
    </row>
    <row r="16">
      <c r="A16" s="41" t="s">
        <v>51</v>
      </c>
      <c r="B16" s="17"/>
      <c r="C16" s="11"/>
      <c r="D16" s="42"/>
      <c r="E16" s="42"/>
      <c r="F16" s="42"/>
      <c r="G16" s="11"/>
      <c r="H16" s="42"/>
      <c r="I16" s="42"/>
      <c r="J16" s="42"/>
      <c r="K16" s="42"/>
      <c r="L16" s="42"/>
      <c r="M16" s="42"/>
    </row>
    <row r="17">
      <c r="A17" s="27" t="s">
        <v>52</v>
      </c>
      <c r="B17" s="20">
        <v>1313.15</v>
      </c>
      <c r="C17" s="50"/>
      <c r="D17" s="44" t="s">
        <v>53</v>
      </c>
      <c r="E17" s="17"/>
      <c r="F17" s="18"/>
      <c r="G17" s="45"/>
      <c r="H17" s="46" t="s">
        <v>54</v>
      </c>
      <c r="M17" s="47"/>
    </row>
    <row r="18">
      <c r="A18" s="27" t="s">
        <v>55</v>
      </c>
      <c r="B18" s="20">
        <v>0.0</v>
      </c>
      <c r="C18" s="50"/>
      <c r="D18" s="51" t="s">
        <v>56</v>
      </c>
      <c r="E18" s="52">
        <v>9670.0</v>
      </c>
      <c r="F18" s="18"/>
      <c r="G18" s="45"/>
      <c r="M18" s="47"/>
    </row>
    <row r="19">
      <c r="A19" s="27" t="s">
        <v>57</v>
      </c>
      <c r="B19" s="20">
        <v>1504.0</v>
      </c>
      <c r="C19" s="55"/>
      <c r="D19" s="56" t="s">
        <v>58</v>
      </c>
      <c r="E19" s="57">
        <v>0.55</v>
      </c>
      <c r="F19" s="58">
        <f>E18*E19</f>
        <v>5318.5</v>
      </c>
      <c r="G19" s="45"/>
      <c r="M19" s="47"/>
    </row>
    <row r="20">
      <c r="A20" s="27" t="s">
        <v>59</v>
      </c>
      <c r="B20" s="20">
        <v>827.0</v>
      </c>
      <c r="C20" s="50"/>
      <c r="D20" s="74" t="s">
        <v>79</v>
      </c>
      <c r="E20" s="60">
        <v>0.05</v>
      </c>
      <c r="F20" s="58">
        <f>E18*E20</f>
        <v>483.5</v>
      </c>
      <c r="G20" s="45"/>
      <c r="M20" s="47"/>
    </row>
    <row r="21">
      <c r="A21" s="27" t="s">
        <v>61</v>
      </c>
      <c r="B21" s="20">
        <v>2525.0</v>
      </c>
      <c r="C21" s="50"/>
      <c r="D21" s="74" t="s">
        <v>87</v>
      </c>
      <c r="E21" s="60">
        <v>0.2</v>
      </c>
      <c r="F21" s="58">
        <f>E18*E21</f>
        <v>1934</v>
      </c>
      <c r="G21" s="45"/>
      <c r="M21" s="47"/>
    </row>
    <row r="22">
      <c r="A22" s="27" t="s">
        <v>108</v>
      </c>
      <c r="B22" s="20">
        <v>669.61</v>
      </c>
      <c r="C22" s="50"/>
      <c r="D22" s="56" t="s">
        <v>63</v>
      </c>
      <c r="E22" s="57">
        <v>0.1</v>
      </c>
      <c r="F22" s="58">
        <f>E18*E22</f>
        <v>967</v>
      </c>
      <c r="G22" s="45"/>
      <c r="M22" s="47"/>
    </row>
    <row r="23">
      <c r="A23" s="25"/>
      <c r="B23" s="26"/>
      <c r="C23" s="50"/>
      <c r="D23" s="56" t="s">
        <v>64</v>
      </c>
      <c r="E23" s="60">
        <v>0.1</v>
      </c>
      <c r="F23" s="58">
        <f>E18*E23</f>
        <v>967</v>
      </c>
      <c r="G23" s="45"/>
      <c r="M23" s="47"/>
    </row>
    <row r="24">
      <c r="A24" s="25"/>
      <c r="B24" s="26"/>
      <c r="C24" s="50"/>
      <c r="D24" s="62" t="s">
        <v>65</v>
      </c>
      <c r="E24" s="47"/>
      <c r="F24" s="63">
        <f>SUM(F19:F23)</f>
        <v>9670</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8078.91</v>
      </c>
      <c r="C27" s="11"/>
      <c r="D27" s="11"/>
      <c r="E27" s="11"/>
      <c r="F27" s="11"/>
      <c r="G27" s="45"/>
      <c r="H27" s="17"/>
      <c r="I27" s="17"/>
      <c r="J27" s="17"/>
      <c r="K27" s="17"/>
      <c r="L27" s="17"/>
      <c r="M27" s="18"/>
    </row>
    <row r="30">
      <c r="B30" s="6">
        <f>SUM(B17:B26)</f>
        <v>6838.76</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s>
  <sheetData>
    <row r="1">
      <c r="A1" s="7" t="s">
        <v>23</v>
      </c>
      <c r="B1" s="8">
        <f>F19</f>
        <v>6391</v>
      </c>
      <c r="C1" s="7" t="s">
        <v>23</v>
      </c>
      <c r="D1" s="8">
        <f>F20</f>
        <v>581</v>
      </c>
      <c r="E1" s="7" t="s">
        <v>23</v>
      </c>
      <c r="F1" s="8">
        <f>F21</f>
        <v>2324</v>
      </c>
      <c r="G1" s="7" t="s">
        <v>23</v>
      </c>
      <c r="H1" s="8">
        <f>F22</f>
        <v>1162</v>
      </c>
      <c r="I1" s="7" t="s">
        <v>23</v>
      </c>
      <c r="J1" s="8">
        <f>F23</f>
        <v>1162</v>
      </c>
      <c r="K1" s="9" t="s">
        <v>24</v>
      </c>
      <c r="L1" s="10">
        <f t="shared" ref="L1:L2" si="1">SUM(B1,D1,F1,H1,J1)</f>
        <v>11620</v>
      </c>
      <c r="M1" s="11"/>
    </row>
    <row r="2">
      <c r="A2" s="12" t="s">
        <v>25</v>
      </c>
      <c r="B2" s="13">
        <f>B1-B27</f>
        <v>-8291.7</v>
      </c>
      <c r="C2" s="12" t="s">
        <v>25</v>
      </c>
      <c r="D2" s="13">
        <f>D1-D15</f>
        <v>363.25</v>
      </c>
      <c r="E2" s="12" t="s">
        <v>25</v>
      </c>
      <c r="F2" s="13">
        <f>F1-F15</f>
        <v>573.61</v>
      </c>
      <c r="G2" s="12" t="s">
        <v>25</v>
      </c>
      <c r="H2" s="13">
        <f>H1-H15</f>
        <v>1162</v>
      </c>
      <c r="I2" s="12" t="s">
        <v>25</v>
      </c>
      <c r="J2" s="13">
        <f>J1-J15</f>
        <v>1162</v>
      </c>
      <c r="K2" s="14" t="s">
        <v>26</v>
      </c>
      <c r="L2" s="15">
        <f t="shared" si="1"/>
        <v>-5030.84</v>
      </c>
      <c r="M2" s="11"/>
    </row>
    <row r="3">
      <c r="A3" s="16" t="s">
        <v>27</v>
      </c>
      <c r="B3" s="17"/>
      <c r="C3" s="85" t="s">
        <v>77</v>
      </c>
      <c r="D3" s="18"/>
      <c r="E3" s="71" t="s">
        <v>80</v>
      </c>
      <c r="F3" s="18"/>
      <c r="G3" s="16" t="s">
        <v>30</v>
      </c>
      <c r="H3" s="18"/>
      <c r="I3" s="16" t="s">
        <v>31</v>
      </c>
      <c r="J3" s="18"/>
      <c r="M3" s="11"/>
    </row>
    <row r="4">
      <c r="A4" s="27" t="s">
        <v>32</v>
      </c>
      <c r="B4" s="20">
        <v>127.0</v>
      </c>
      <c r="C4" s="27" t="s">
        <v>118</v>
      </c>
      <c r="D4" s="20">
        <v>14.0</v>
      </c>
      <c r="E4" s="27" t="s">
        <v>119</v>
      </c>
      <c r="F4" s="20">
        <v>197.0</v>
      </c>
      <c r="G4" s="21"/>
      <c r="H4" s="22"/>
      <c r="I4" s="25"/>
      <c r="J4" s="26"/>
      <c r="K4" s="11"/>
      <c r="L4" s="11"/>
      <c r="M4" s="11"/>
    </row>
    <row r="5">
      <c r="A5" s="27" t="s">
        <v>120</v>
      </c>
      <c r="B5" s="20">
        <v>95.0</v>
      </c>
      <c r="C5" s="27" t="s">
        <v>121</v>
      </c>
      <c r="D5" s="20">
        <v>18.65</v>
      </c>
      <c r="E5" s="27" t="s">
        <v>42</v>
      </c>
      <c r="F5" s="20">
        <v>279.0</v>
      </c>
      <c r="G5" s="25"/>
      <c r="H5" s="26"/>
      <c r="I5" s="25"/>
      <c r="J5" s="26"/>
      <c r="K5" s="11"/>
      <c r="L5" s="11"/>
      <c r="M5" s="35"/>
    </row>
    <row r="6">
      <c r="A6" s="27" t="s">
        <v>37</v>
      </c>
      <c r="B6" s="20">
        <v>202.9</v>
      </c>
      <c r="C6" s="27" t="s">
        <v>122</v>
      </c>
      <c r="D6" s="20">
        <v>59.9</v>
      </c>
      <c r="E6" s="27" t="s">
        <v>99</v>
      </c>
      <c r="F6" s="20">
        <v>300.0</v>
      </c>
      <c r="G6" s="25"/>
      <c r="H6" s="26"/>
      <c r="I6" s="25"/>
      <c r="J6" s="26"/>
      <c r="K6" s="11"/>
      <c r="L6" s="28"/>
      <c r="M6" s="35"/>
    </row>
    <row r="7">
      <c r="A7" s="21" t="s">
        <v>91</v>
      </c>
      <c r="B7" s="23">
        <v>212.68</v>
      </c>
      <c r="C7" s="27" t="s">
        <v>123</v>
      </c>
      <c r="D7" s="20">
        <v>19.9</v>
      </c>
      <c r="E7" s="27" t="s">
        <v>124</v>
      </c>
      <c r="F7" s="20">
        <v>140.0</v>
      </c>
      <c r="G7" s="25"/>
      <c r="H7" s="26"/>
      <c r="I7" s="25"/>
      <c r="J7" s="26"/>
      <c r="K7" s="11"/>
      <c r="L7" s="28"/>
      <c r="M7" s="35"/>
    </row>
    <row r="8">
      <c r="A8" s="27" t="s">
        <v>92</v>
      </c>
      <c r="B8" s="20">
        <v>239.0</v>
      </c>
      <c r="C8" s="27" t="s">
        <v>44</v>
      </c>
      <c r="D8" s="20">
        <v>11.6</v>
      </c>
      <c r="E8" s="27" t="s">
        <v>125</v>
      </c>
      <c r="F8" s="20">
        <v>200.0</v>
      </c>
      <c r="G8" s="25"/>
      <c r="H8" s="26"/>
      <c r="I8" s="25"/>
      <c r="J8" s="26"/>
      <c r="K8" s="28"/>
      <c r="L8" s="28"/>
      <c r="M8" s="35"/>
    </row>
    <row r="9">
      <c r="A9" s="27" t="s">
        <v>43</v>
      </c>
      <c r="B9" s="20">
        <v>352.5</v>
      </c>
      <c r="C9" s="27" t="s">
        <v>126</v>
      </c>
      <c r="D9" s="20">
        <v>35.9</v>
      </c>
      <c r="E9" s="19" t="s">
        <v>127</v>
      </c>
      <c r="F9" s="24">
        <v>634.39</v>
      </c>
      <c r="G9" s="25"/>
      <c r="H9" s="26"/>
      <c r="I9" s="25"/>
      <c r="J9" s="26"/>
      <c r="K9" s="11"/>
      <c r="L9" s="66"/>
      <c r="M9" s="11"/>
    </row>
    <row r="10">
      <c r="A10" s="73" t="s">
        <v>128</v>
      </c>
      <c r="B10" s="20">
        <v>170.0</v>
      </c>
      <c r="C10" s="27" t="s">
        <v>129</v>
      </c>
      <c r="D10" s="20">
        <v>24.9</v>
      </c>
      <c r="E10" s="25"/>
      <c r="F10" s="26"/>
      <c r="G10" s="25"/>
      <c r="H10" s="26"/>
      <c r="I10" s="25"/>
      <c r="J10" s="26"/>
      <c r="K10" s="11"/>
      <c r="L10" s="66"/>
      <c r="M10" s="11"/>
    </row>
    <row r="11">
      <c r="A11" s="21" t="s">
        <v>104</v>
      </c>
      <c r="B11" s="23">
        <v>74.0</v>
      </c>
      <c r="C11" s="27" t="s">
        <v>130</v>
      </c>
      <c r="D11" s="20">
        <v>32.9</v>
      </c>
      <c r="E11" s="31"/>
      <c r="F11" s="26"/>
      <c r="G11" s="31"/>
      <c r="H11" s="26"/>
      <c r="I11" s="25"/>
      <c r="J11" s="26"/>
      <c r="K11" s="11"/>
      <c r="L11" s="66"/>
      <c r="M11" s="11"/>
    </row>
    <row r="12">
      <c r="A12" s="32"/>
      <c r="B12" s="33"/>
      <c r="C12" s="21"/>
      <c r="D12" s="23"/>
      <c r="E12" s="31"/>
      <c r="F12" s="26"/>
      <c r="G12" s="31"/>
      <c r="H12" s="26"/>
      <c r="I12" s="31"/>
      <c r="J12" s="26"/>
      <c r="K12" s="11"/>
      <c r="L12" s="28"/>
      <c r="M12" s="11"/>
    </row>
    <row r="13">
      <c r="A13" s="31"/>
      <c r="B13" s="23"/>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1473.08</v>
      </c>
      <c r="C15" s="25" t="s">
        <v>50</v>
      </c>
      <c r="D15" s="26">
        <f>SUM(D4:D14)</f>
        <v>217.75</v>
      </c>
      <c r="E15" s="39" t="s">
        <v>50</v>
      </c>
      <c r="F15" s="40">
        <f>SUM(F4:F14)</f>
        <v>1750.39</v>
      </c>
      <c r="G15" s="39" t="s">
        <v>50</v>
      </c>
      <c r="H15" s="40">
        <f>SUM(H4:H14)</f>
        <v>0</v>
      </c>
      <c r="I15" s="39" t="s">
        <v>50</v>
      </c>
      <c r="J15" s="40">
        <f>SUM(J4:J14)</f>
        <v>0</v>
      </c>
      <c r="K15" s="11"/>
      <c r="L15" s="11"/>
      <c r="M15" s="11"/>
    </row>
    <row r="16">
      <c r="A16" s="41" t="s">
        <v>51</v>
      </c>
      <c r="B16" s="17"/>
      <c r="C16" s="11"/>
      <c r="D16" s="42"/>
      <c r="E16" s="42"/>
      <c r="F16" s="42"/>
      <c r="G16" s="11"/>
      <c r="H16" s="42"/>
      <c r="I16" s="42"/>
      <c r="J16" s="42"/>
      <c r="K16" s="42"/>
      <c r="L16" s="42"/>
      <c r="M16" s="42"/>
    </row>
    <row r="17">
      <c r="A17" s="27" t="s">
        <v>52</v>
      </c>
      <c r="B17" s="20">
        <v>2729.0</v>
      </c>
      <c r="C17" s="78">
        <v>45768.0</v>
      </c>
      <c r="D17" s="44" t="s">
        <v>53</v>
      </c>
      <c r="E17" s="17"/>
      <c r="F17" s="18"/>
      <c r="G17" s="45"/>
      <c r="H17" s="46" t="s">
        <v>131</v>
      </c>
      <c r="M17" s="47"/>
    </row>
    <row r="18">
      <c r="A18" s="27" t="s">
        <v>55</v>
      </c>
      <c r="B18" s="20">
        <v>1416.36</v>
      </c>
      <c r="C18" s="78">
        <v>45768.0</v>
      </c>
      <c r="D18" s="51" t="s">
        <v>56</v>
      </c>
      <c r="E18" s="52">
        <v>11620.0</v>
      </c>
      <c r="F18" s="18"/>
      <c r="G18" s="45"/>
      <c r="M18" s="47"/>
    </row>
    <row r="19">
      <c r="A19" s="27" t="s">
        <v>57</v>
      </c>
      <c r="B19" s="20">
        <v>2270.17</v>
      </c>
      <c r="C19" s="78">
        <v>45768.0</v>
      </c>
      <c r="D19" s="56" t="s">
        <v>58</v>
      </c>
      <c r="E19" s="57">
        <v>0.55</v>
      </c>
      <c r="F19" s="58">
        <f>E18*E19</f>
        <v>6391</v>
      </c>
      <c r="G19" s="45"/>
      <c r="M19" s="47"/>
    </row>
    <row r="20">
      <c r="A20" s="27" t="s">
        <v>59</v>
      </c>
      <c r="B20" s="20">
        <v>1569.17</v>
      </c>
      <c r="C20" s="78">
        <v>45768.0</v>
      </c>
      <c r="D20" s="74" t="s">
        <v>79</v>
      </c>
      <c r="E20" s="60">
        <v>0.05</v>
      </c>
      <c r="F20" s="58">
        <f>E18*E20</f>
        <v>581</v>
      </c>
      <c r="G20" s="45"/>
      <c r="M20" s="47"/>
    </row>
    <row r="21">
      <c r="A21" s="27" t="s">
        <v>61</v>
      </c>
      <c r="B21" s="20">
        <v>3953.0</v>
      </c>
      <c r="C21" s="78">
        <v>45768.0</v>
      </c>
      <c r="D21" s="74" t="s">
        <v>87</v>
      </c>
      <c r="E21" s="60">
        <v>0.2</v>
      </c>
      <c r="F21" s="58">
        <f>E18*E21</f>
        <v>2324</v>
      </c>
      <c r="G21" s="45"/>
      <c r="M21" s="47"/>
    </row>
    <row r="22">
      <c r="A22" s="27" t="s">
        <v>108</v>
      </c>
      <c r="B22" s="20">
        <v>1271.92</v>
      </c>
      <c r="C22" s="78">
        <v>45768.0</v>
      </c>
      <c r="D22" s="56" t="s">
        <v>63</v>
      </c>
      <c r="E22" s="57">
        <v>0.1</v>
      </c>
      <c r="F22" s="58">
        <f>E18*E22</f>
        <v>1162</v>
      </c>
      <c r="G22" s="45"/>
      <c r="M22" s="47"/>
    </row>
    <row r="23">
      <c r="A23" s="25"/>
      <c r="B23" s="26"/>
      <c r="C23" s="50"/>
      <c r="D23" s="56" t="s">
        <v>64</v>
      </c>
      <c r="E23" s="60">
        <v>0.1</v>
      </c>
      <c r="F23" s="58">
        <f>E18*E23</f>
        <v>1162</v>
      </c>
      <c r="G23" s="45"/>
      <c r="M23" s="47"/>
    </row>
    <row r="24">
      <c r="A24" s="25"/>
      <c r="B24" s="26"/>
      <c r="C24" s="50"/>
      <c r="D24" s="62" t="s">
        <v>65</v>
      </c>
      <c r="E24" s="47"/>
      <c r="F24" s="63">
        <f>SUM(F19:F23)</f>
        <v>11620</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14682.7</v>
      </c>
      <c r="C27" s="11"/>
      <c r="D27" s="11"/>
      <c r="E27" s="11"/>
      <c r="F27" s="11"/>
      <c r="G27" s="45"/>
      <c r="H27" s="17"/>
      <c r="I27" s="17"/>
      <c r="J27" s="17"/>
      <c r="K27" s="17"/>
      <c r="L27" s="17"/>
      <c r="M27" s="18"/>
    </row>
    <row r="31">
      <c r="A31" s="86" t="s">
        <v>132</v>
      </c>
      <c r="B31" s="6">
        <f>SUM(B17:B26)</f>
        <v>13209.62</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s>
  <sheetData>
    <row r="1">
      <c r="A1" s="7" t="s">
        <v>23</v>
      </c>
      <c r="B1" s="8">
        <f>F19</f>
        <v>6183.0395</v>
      </c>
      <c r="C1" s="7" t="s">
        <v>23</v>
      </c>
      <c r="D1" s="8">
        <f>F20</f>
        <v>562.0945</v>
      </c>
      <c r="E1" s="7" t="s">
        <v>23</v>
      </c>
      <c r="F1" s="8">
        <f>F21</f>
        <v>2248.378</v>
      </c>
      <c r="G1" s="7" t="s">
        <v>23</v>
      </c>
      <c r="H1" s="8">
        <f>F22</f>
        <v>1124.189</v>
      </c>
      <c r="I1" s="7" t="s">
        <v>23</v>
      </c>
      <c r="J1" s="8">
        <f>F23</f>
        <v>1124.189</v>
      </c>
      <c r="K1" s="9" t="s">
        <v>24</v>
      </c>
      <c r="L1" s="10">
        <f t="shared" ref="L1:L2" si="1">SUM(B1,D1,F1,H1,J1)</f>
        <v>11241.89</v>
      </c>
      <c r="M1" s="11"/>
    </row>
    <row r="2">
      <c r="A2" s="12" t="s">
        <v>25</v>
      </c>
      <c r="B2" s="13">
        <f>B1-B27</f>
        <v>-6326.2305</v>
      </c>
      <c r="C2" s="12" t="s">
        <v>25</v>
      </c>
      <c r="D2" s="13">
        <f>D1-D15</f>
        <v>345.0845</v>
      </c>
      <c r="E2" s="12" t="s">
        <v>25</v>
      </c>
      <c r="F2" s="13">
        <f>F1-F15</f>
        <v>1223.988</v>
      </c>
      <c r="G2" s="12" t="s">
        <v>25</v>
      </c>
      <c r="H2" s="13">
        <f>H1-H15</f>
        <v>1124.189</v>
      </c>
      <c r="I2" s="12" t="s">
        <v>25</v>
      </c>
      <c r="J2" s="13">
        <f>J1-J15</f>
        <v>1124.189</v>
      </c>
      <c r="K2" s="14" t="s">
        <v>26</v>
      </c>
      <c r="L2" s="15">
        <f t="shared" si="1"/>
        <v>-2508.78</v>
      </c>
      <c r="M2" s="11"/>
    </row>
    <row r="3">
      <c r="A3" s="16" t="s">
        <v>27</v>
      </c>
      <c r="B3" s="17"/>
      <c r="C3" s="71" t="s">
        <v>77</v>
      </c>
      <c r="D3" s="18"/>
      <c r="E3" s="71" t="s">
        <v>80</v>
      </c>
      <c r="F3" s="18"/>
      <c r="G3" s="16" t="s">
        <v>30</v>
      </c>
      <c r="H3" s="18"/>
      <c r="I3" s="16" t="s">
        <v>31</v>
      </c>
      <c r="J3" s="18"/>
      <c r="M3" s="11"/>
    </row>
    <row r="4">
      <c r="A4" s="27" t="s">
        <v>32</v>
      </c>
      <c r="B4" s="20">
        <v>127.0</v>
      </c>
      <c r="C4" s="27" t="s">
        <v>118</v>
      </c>
      <c r="D4" s="24">
        <v>14.0</v>
      </c>
      <c r="E4" s="27" t="s">
        <v>133</v>
      </c>
      <c r="F4" s="20">
        <v>140.0</v>
      </c>
      <c r="G4" s="21"/>
      <c r="H4" s="22"/>
      <c r="I4" s="25"/>
      <c r="J4" s="26"/>
      <c r="K4" s="11"/>
      <c r="L4" s="11"/>
      <c r="M4" s="11"/>
    </row>
    <row r="5">
      <c r="A5" s="27" t="s">
        <v>120</v>
      </c>
      <c r="B5" s="20">
        <v>95.0</v>
      </c>
      <c r="C5" s="27" t="s">
        <v>121</v>
      </c>
      <c r="D5" s="20">
        <v>17.91</v>
      </c>
      <c r="E5" s="27" t="s">
        <v>134</v>
      </c>
      <c r="F5" s="20">
        <v>100.0</v>
      </c>
      <c r="G5" s="25"/>
      <c r="H5" s="26"/>
      <c r="I5" s="25"/>
      <c r="J5" s="26"/>
      <c r="K5" s="11"/>
      <c r="L5" s="11"/>
      <c r="M5" s="11"/>
    </row>
    <row r="6">
      <c r="A6" s="27" t="s">
        <v>37</v>
      </c>
      <c r="B6" s="20">
        <v>149.92</v>
      </c>
      <c r="C6" s="27" t="s">
        <v>122</v>
      </c>
      <c r="D6" s="24">
        <v>59.9</v>
      </c>
      <c r="E6" s="27" t="s">
        <v>99</v>
      </c>
      <c r="F6" s="20">
        <v>150.0</v>
      </c>
      <c r="G6" s="25"/>
      <c r="H6" s="26"/>
      <c r="I6" s="25"/>
      <c r="J6" s="26"/>
      <c r="K6" s="11"/>
      <c r="L6" s="28"/>
      <c r="M6" s="11"/>
    </row>
    <row r="7">
      <c r="A7" s="27" t="s">
        <v>91</v>
      </c>
      <c r="B7" s="20">
        <v>212.0</v>
      </c>
      <c r="C7" s="27" t="s">
        <v>123</v>
      </c>
      <c r="D7" s="24">
        <v>19.9</v>
      </c>
      <c r="E7" s="19" t="s">
        <v>127</v>
      </c>
      <c r="F7" s="24">
        <v>634.39</v>
      </c>
      <c r="G7" s="25"/>
      <c r="H7" s="26"/>
      <c r="I7" s="25"/>
      <c r="J7" s="26"/>
      <c r="K7" s="11"/>
      <c r="L7" s="28"/>
      <c r="M7" s="11"/>
    </row>
    <row r="8">
      <c r="A8" s="27" t="s">
        <v>92</v>
      </c>
      <c r="B8" s="20">
        <v>248.0</v>
      </c>
      <c r="C8" s="27" t="s">
        <v>44</v>
      </c>
      <c r="D8" s="24">
        <v>11.6</v>
      </c>
      <c r="E8" s="31"/>
      <c r="F8" s="26"/>
      <c r="G8" s="25"/>
      <c r="H8" s="26"/>
      <c r="I8" s="25"/>
      <c r="J8" s="26"/>
      <c r="K8" s="28"/>
      <c r="L8" s="28"/>
      <c r="M8" s="11"/>
    </row>
    <row r="9">
      <c r="A9" s="27" t="s">
        <v>43</v>
      </c>
      <c r="B9" s="20">
        <v>352.5</v>
      </c>
      <c r="C9" s="27" t="s">
        <v>126</v>
      </c>
      <c r="D9" s="24">
        <v>35.9</v>
      </c>
      <c r="E9" s="31"/>
      <c r="F9" s="26"/>
      <c r="G9" s="25"/>
      <c r="H9" s="26"/>
      <c r="I9" s="25"/>
      <c r="J9" s="26"/>
      <c r="K9" s="11"/>
      <c r="L9" s="66"/>
      <c r="M9" s="11"/>
    </row>
    <row r="10">
      <c r="A10" s="87" t="s">
        <v>135</v>
      </c>
      <c r="B10" s="88">
        <v>0.0</v>
      </c>
      <c r="C10" s="27" t="s">
        <v>136</v>
      </c>
      <c r="D10" s="24">
        <v>24.9</v>
      </c>
      <c r="E10" s="25"/>
      <c r="F10" s="26"/>
      <c r="G10" s="25"/>
      <c r="H10" s="26"/>
      <c r="I10" s="25"/>
      <c r="J10" s="26"/>
      <c r="K10" s="11"/>
      <c r="L10" s="66"/>
      <c r="M10" s="11"/>
    </row>
    <row r="11">
      <c r="A11" s="27" t="s">
        <v>104</v>
      </c>
      <c r="B11" s="20">
        <v>74.0</v>
      </c>
      <c r="C11" s="27" t="s">
        <v>137</v>
      </c>
      <c r="D11" s="24">
        <v>32.9</v>
      </c>
      <c r="E11" s="31"/>
      <c r="F11" s="26"/>
      <c r="G11" s="31"/>
      <c r="H11" s="26"/>
      <c r="I11" s="25"/>
      <c r="J11" s="26"/>
      <c r="K11" s="11"/>
      <c r="L11" s="66"/>
      <c r="M11" s="11"/>
    </row>
    <row r="12">
      <c r="A12" s="32"/>
      <c r="B12" s="33"/>
      <c r="C12" s="21"/>
      <c r="D12" s="23"/>
      <c r="E12" s="31"/>
      <c r="F12" s="26"/>
      <c r="G12" s="31"/>
      <c r="H12" s="26"/>
      <c r="I12" s="31"/>
      <c r="J12" s="26"/>
      <c r="K12" s="11"/>
      <c r="L12" s="28"/>
      <c r="M12" s="11"/>
    </row>
    <row r="13">
      <c r="A13" s="31"/>
      <c r="B13" s="23"/>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1258.42</v>
      </c>
      <c r="C15" s="25" t="s">
        <v>50</v>
      </c>
      <c r="D15" s="26">
        <f>SUM(D4:D14)</f>
        <v>217.01</v>
      </c>
      <c r="E15" s="39" t="s">
        <v>50</v>
      </c>
      <c r="F15" s="40">
        <f>SUM(F4:F14)</f>
        <v>1024.39</v>
      </c>
      <c r="G15" s="39" t="s">
        <v>50</v>
      </c>
      <c r="H15" s="40">
        <f>SUM(H4:H14)</f>
        <v>0</v>
      </c>
      <c r="I15" s="39" t="s">
        <v>50</v>
      </c>
      <c r="J15" s="40">
        <f>SUM(J4:J14)</f>
        <v>0</v>
      </c>
      <c r="K15" s="11"/>
      <c r="L15" s="11"/>
      <c r="M15" s="11"/>
    </row>
    <row r="16">
      <c r="A16" s="41" t="s">
        <v>51</v>
      </c>
      <c r="B16" s="17"/>
      <c r="C16" s="11"/>
      <c r="D16" s="42"/>
      <c r="E16" s="42"/>
      <c r="F16" s="42"/>
      <c r="G16" s="11"/>
      <c r="H16" s="42"/>
      <c r="I16" s="42"/>
      <c r="J16" s="42"/>
      <c r="K16" s="42"/>
      <c r="L16" s="42"/>
      <c r="M16" s="42"/>
    </row>
    <row r="17">
      <c r="A17" s="27" t="s">
        <v>52</v>
      </c>
      <c r="B17" s="20">
        <v>1531.37</v>
      </c>
      <c r="C17" s="78">
        <v>45808.0</v>
      </c>
      <c r="D17" s="44" t="s">
        <v>53</v>
      </c>
      <c r="E17" s="17"/>
      <c r="F17" s="18"/>
      <c r="G17" s="45"/>
      <c r="H17" s="79" t="s">
        <v>138</v>
      </c>
      <c r="M17" s="47"/>
    </row>
    <row r="18">
      <c r="A18" s="27" t="s">
        <v>55</v>
      </c>
      <c r="B18" s="20">
        <v>2079.48</v>
      </c>
      <c r="C18" s="78">
        <v>45808.0</v>
      </c>
      <c r="D18" s="51" t="s">
        <v>56</v>
      </c>
      <c r="E18" s="52">
        <v>11241.89</v>
      </c>
      <c r="F18" s="18"/>
      <c r="G18" s="50"/>
      <c r="M18" s="47"/>
    </row>
    <row r="19">
      <c r="A19" s="27" t="s">
        <v>57</v>
      </c>
      <c r="B19" s="20">
        <v>2132.0</v>
      </c>
      <c r="C19" s="78">
        <v>45808.0</v>
      </c>
      <c r="D19" s="56" t="s">
        <v>58</v>
      </c>
      <c r="E19" s="57">
        <v>0.55</v>
      </c>
      <c r="F19" s="58">
        <f>E18*E19</f>
        <v>6183.0395</v>
      </c>
      <c r="G19" s="45"/>
      <c r="M19" s="47"/>
    </row>
    <row r="20">
      <c r="A20" s="27" t="s">
        <v>59</v>
      </c>
      <c r="B20" s="20">
        <v>1505.0</v>
      </c>
      <c r="C20" s="78">
        <v>45808.0</v>
      </c>
      <c r="D20" s="74" t="s">
        <v>79</v>
      </c>
      <c r="E20" s="60">
        <v>0.05</v>
      </c>
      <c r="F20" s="58">
        <f>E18*E20</f>
        <v>562.0945</v>
      </c>
      <c r="G20" s="45"/>
      <c r="M20" s="47"/>
    </row>
    <row r="21">
      <c r="A21" s="89" t="s">
        <v>61</v>
      </c>
      <c r="B21" s="69">
        <v>2880.0</v>
      </c>
      <c r="C21" s="90">
        <v>339.0</v>
      </c>
      <c r="D21" s="74" t="s">
        <v>87</v>
      </c>
      <c r="E21" s="60">
        <v>0.2</v>
      </c>
      <c r="F21" s="58">
        <f>E18*E21</f>
        <v>2248.378</v>
      </c>
      <c r="G21" s="45"/>
      <c r="M21" s="47"/>
    </row>
    <row r="22">
      <c r="A22" s="27" t="s">
        <v>108</v>
      </c>
      <c r="B22" s="20">
        <v>1123.0</v>
      </c>
      <c r="C22" s="78">
        <v>45808.0</v>
      </c>
      <c r="D22" s="56" t="s">
        <v>63</v>
      </c>
      <c r="E22" s="57">
        <v>0.1</v>
      </c>
      <c r="F22" s="58">
        <f>E18*E22</f>
        <v>1124.189</v>
      </c>
      <c r="G22" s="45"/>
      <c r="M22" s="47"/>
    </row>
    <row r="23">
      <c r="A23" s="25"/>
      <c r="B23" s="26"/>
      <c r="C23" s="50"/>
      <c r="D23" s="56" t="s">
        <v>64</v>
      </c>
      <c r="E23" s="60">
        <v>0.1</v>
      </c>
      <c r="F23" s="58">
        <f>E18*E23</f>
        <v>1124.189</v>
      </c>
      <c r="G23" s="45"/>
      <c r="M23" s="47"/>
    </row>
    <row r="24">
      <c r="A24" s="25"/>
      <c r="B24" s="26"/>
      <c r="C24" s="50"/>
      <c r="D24" s="62" t="s">
        <v>65</v>
      </c>
      <c r="E24" s="47"/>
      <c r="F24" s="63">
        <f>SUM(F19:F23)</f>
        <v>11241.89</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12509.27</v>
      </c>
      <c r="C27" s="11"/>
      <c r="D27" s="11"/>
      <c r="E27" s="11"/>
      <c r="F27" s="11"/>
      <c r="G27" s="45"/>
      <c r="H27" s="17"/>
      <c r="I27" s="17"/>
      <c r="J27" s="17"/>
      <c r="K27" s="17"/>
      <c r="L27" s="17"/>
      <c r="M27" s="18"/>
    </row>
    <row r="31">
      <c r="A31" s="91" t="s">
        <v>132</v>
      </c>
      <c r="B31" s="92">
        <f>SUM(B17:B26)</f>
        <v>11250.85</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4.57"/>
    <col customWidth="1" min="4" max="4" width="15.86"/>
    <col customWidth="1" min="6" max="6" width="28.14"/>
    <col hidden="1" min="7" max="7" width="14.43"/>
    <col customWidth="1" min="9" max="9" width="15.86"/>
    <col customWidth="1" min="11" max="11" width="24.57"/>
    <col customWidth="1" min="15" max="15" width="22.14"/>
    <col hidden="1" min="16" max="16" width="14.43"/>
  </cols>
  <sheetData>
    <row r="1">
      <c r="A1" s="93" t="s">
        <v>57</v>
      </c>
      <c r="B1" s="94"/>
      <c r="C1" s="95"/>
      <c r="E1" s="93" t="s">
        <v>61</v>
      </c>
      <c r="F1" s="94"/>
      <c r="G1" s="94"/>
      <c r="H1" s="95"/>
      <c r="J1" s="93" t="s">
        <v>139</v>
      </c>
      <c r="K1" s="94"/>
      <c r="L1" s="95"/>
      <c r="N1" s="93" t="s">
        <v>32</v>
      </c>
      <c r="O1" s="94"/>
      <c r="P1" s="94"/>
      <c r="Q1" s="95"/>
    </row>
    <row r="3">
      <c r="A3" s="86" t="s">
        <v>140</v>
      </c>
      <c r="B3" s="86" t="s">
        <v>141</v>
      </c>
      <c r="C3" s="86" t="s">
        <v>142</v>
      </c>
      <c r="D3" s="86" t="s">
        <v>143</v>
      </c>
      <c r="E3" s="86" t="s">
        <v>140</v>
      </c>
      <c r="F3" s="86" t="s">
        <v>141</v>
      </c>
      <c r="G3" s="86" t="s">
        <v>144</v>
      </c>
      <c r="H3" s="86" t="s">
        <v>142</v>
      </c>
      <c r="I3" s="86" t="s">
        <v>143</v>
      </c>
      <c r="J3" s="86" t="s">
        <v>140</v>
      </c>
      <c r="K3" s="86" t="s">
        <v>141</v>
      </c>
      <c r="L3" s="86" t="s">
        <v>145</v>
      </c>
      <c r="M3" s="86" t="s">
        <v>143</v>
      </c>
      <c r="N3" s="86" t="s">
        <v>140</v>
      </c>
      <c r="O3" s="86" t="s">
        <v>141</v>
      </c>
      <c r="P3" s="86" t="s">
        <v>144</v>
      </c>
      <c r="Q3" s="86" t="s">
        <v>142</v>
      </c>
      <c r="R3" s="86" t="s">
        <v>143</v>
      </c>
    </row>
    <row r="4">
      <c r="A4" s="96">
        <v>45773.0</v>
      </c>
      <c r="B4" s="86" t="s">
        <v>146</v>
      </c>
      <c r="C4" s="81">
        <v>109.92</v>
      </c>
      <c r="D4" s="86" t="s">
        <v>147</v>
      </c>
      <c r="E4" s="80">
        <v>45788.0</v>
      </c>
      <c r="F4" s="86" t="s">
        <v>148</v>
      </c>
      <c r="H4" s="81">
        <v>50.0</v>
      </c>
      <c r="I4" s="86" t="s">
        <v>149</v>
      </c>
      <c r="J4" s="80">
        <v>45745.0</v>
      </c>
      <c r="K4" s="86" t="s">
        <v>150</v>
      </c>
      <c r="L4" s="81">
        <v>49.98</v>
      </c>
      <c r="M4" s="86" t="s">
        <v>151</v>
      </c>
      <c r="N4" s="80">
        <v>45698.0</v>
      </c>
      <c r="O4" s="86" t="s">
        <v>152</v>
      </c>
      <c r="P4" s="80">
        <v>45781.0</v>
      </c>
      <c r="Q4" s="81">
        <v>613.44</v>
      </c>
      <c r="R4" s="86" t="s">
        <v>153</v>
      </c>
    </row>
    <row r="5">
      <c r="A5" s="96">
        <v>45773.0</v>
      </c>
      <c r="B5" s="86" t="s">
        <v>154</v>
      </c>
      <c r="C5" s="81">
        <v>94.49</v>
      </c>
      <c r="D5" s="86" t="s">
        <v>155</v>
      </c>
      <c r="E5" s="80">
        <v>45794.0</v>
      </c>
      <c r="F5" s="86" t="s">
        <v>148</v>
      </c>
      <c r="H5" s="81">
        <v>50.0</v>
      </c>
      <c r="I5" s="86" t="s">
        <v>149</v>
      </c>
      <c r="J5" s="80">
        <v>45745.0</v>
      </c>
      <c r="K5" s="86" t="s">
        <v>150</v>
      </c>
      <c r="L5" s="81">
        <v>-0.04</v>
      </c>
      <c r="M5" s="86" t="s">
        <v>151</v>
      </c>
      <c r="N5" s="80">
        <v>45768.0</v>
      </c>
      <c r="O5" s="86" t="s">
        <v>152</v>
      </c>
      <c r="P5" s="80">
        <v>45993.0</v>
      </c>
      <c r="Q5" s="81">
        <v>159.46</v>
      </c>
      <c r="R5" s="86" t="s">
        <v>153</v>
      </c>
    </row>
    <row r="6">
      <c r="A6" s="96">
        <v>45773.0</v>
      </c>
      <c r="B6" s="86" t="s">
        <v>156</v>
      </c>
      <c r="C6" s="81">
        <v>60.73</v>
      </c>
      <c r="D6" s="86" t="s">
        <v>147</v>
      </c>
      <c r="E6" s="80">
        <v>45661.0</v>
      </c>
      <c r="F6" s="86" t="s">
        <v>157</v>
      </c>
      <c r="G6" s="86" t="s">
        <v>158</v>
      </c>
      <c r="H6" s="81">
        <v>69.9</v>
      </c>
      <c r="I6" s="86" t="s">
        <v>159</v>
      </c>
      <c r="J6" s="80">
        <v>45774.0</v>
      </c>
      <c r="K6" s="86" t="s">
        <v>160</v>
      </c>
      <c r="L6" s="81">
        <v>54.16</v>
      </c>
      <c r="M6" s="86" t="s">
        <v>161</v>
      </c>
      <c r="N6" s="80">
        <v>45915.0</v>
      </c>
      <c r="O6" s="86" t="s">
        <v>162</v>
      </c>
      <c r="P6" s="80">
        <v>46000.0</v>
      </c>
      <c r="Q6" s="81">
        <v>99.81</v>
      </c>
      <c r="R6" s="86" t="s">
        <v>159</v>
      </c>
    </row>
    <row r="7">
      <c r="A7" s="97">
        <v>45783.0</v>
      </c>
      <c r="B7" s="86" t="s">
        <v>163</v>
      </c>
      <c r="C7" s="81">
        <v>18.0</v>
      </c>
      <c r="D7" s="86" t="s">
        <v>164</v>
      </c>
      <c r="E7" s="80">
        <v>45777.0</v>
      </c>
      <c r="F7" s="86" t="s">
        <v>165</v>
      </c>
      <c r="H7" s="81">
        <v>1.8</v>
      </c>
      <c r="I7" s="86" t="s">
        <v>166</v>
      </c>
      <c r="J7" s="80">
        <v>45779.0</v>
      </c>
      <c r="K7" s="86" t="s">
        <v>167</v>
      </c>
      <c r="L7" s="81">
        <v>55.69</v>
      </c>
      <c r="M7" s="86" t="s">
        <v>168</v>
      </c>
      <c r="N7" s="80">
        <v>45789.0</v>
      </c>
      <c r="O7" s="86" t="s">
        <v>169</v>
      </c>
      <c r="Q7" s="81">
        <v>9.96</v>
      </c>
      <c r="R7" s="86" t="s">
        <v>170</v>
      </c>
    </row>
    <row r="8">
      <c r="A8" s="97">
        <v>45783.0</v>
      </c>
      <c r="B8" s="86" t="s">
        <v>171</v>
      </c>
      <c r="C8" s="81">
        <v>170.0</v>
      </c>
      <c r="D8" s="86" t="s">
        <v>155</v>
      </c>
      <c r="E8" s="80">
        <v>45805.0</v>
      </c>
      <c r="F8" s="86" t="s">
        <v>165</v>
      </c>
      <c r="H8" s="81">
        <v>2.4</v>
      </c>
      <c r="I8" s="86" t="s">
        <v>166</v>
      </c>
      <c r="J8" s="80">
        <v>45779.0</v>
      </c>
      <c r="K8" s="86" t="s">
        <v>172</v>
      </c>
      <c r="L8" s="81">
        <v>107.56</v>
      </c>
      <c r="M8" s="86" t="s">
        <v>168</v>
      </c>
      <c r="N8" s="80">
        <v>45798.0</v>
      </c>
      <c r="O8" s="86" t="s">
        <v>173</v>
      </c>
      <c r="Q8" s="81">
        <v>93.7</v>
      </c>
      <c r="R8" s="86" t="s">
        <v>155</v>
      </c>
    </row>
    <row r="9">
      <c r="A9" s="97">
        <v>45783.0</v>
      </c>
      <c r="B9" s="98" t="s">
        <v>174</v>
      </c>
      <c r="C9" s="81">
        <v>49.9</v>
      </c>
      <c r="D9" s="86" t="s">
        <v>175</v>
      </c>
      <c r="E9" s="80">
        <v>45702.0</v>
      </c>
      <c r="F9" s="86" t="s">
        <v>176</v>
      </c>
      <c r="G9" s="86" t="s">
        <v>177</v>
      </c>
      <c r="H9" s="81">
        <v>18.7</v>
      </c>
      <c r="I9" s="86" t="s">
        <v>178</v>
      </c>
      <c r="J9" s="80">
        <v>45780.0</v>
      </c>
      <c r="K9" s="86" t="s">
        <v>167</v>
      </c>
      <c r="L9" s="81">
        <v>32.88</v>
      </c>
      <c r="M9" s="86" t="s">
        <v>168</v>
      </c>
      <c r="N9" s="80">
        <v>45798.0</v>
      </c>
      <c r="O9" s="86" t="s">
        <v>179</v>
      </c>
      <c r="Q9" s="81">
        <v>129.75</v>
      </c>
      <c r="R9" s="86" t="s">
        <v>168</v>
      </c>
    </row>
    <row r="10">
      <c r="A10" s="97">
        <v>45784.0</v>
      </c>
      <c r="B10" s="86" t="s">
        <v>180</v>
      </c>
      <c r="C10" s="81">
        <v>160.41</v>
      </c>
      <c r="D10" s="86" t="s">
        <v>147</v>
      </c>
      <c r="E10" s="80">
        <v>45783.0</v>
      </c>
      <c r="F10" s="86" t="s">
        <v>181</v>
      </c>
      <c r="H10" s="81">
        <v>95.0</v>
      </c>
      <c r="I10" s="86" t="s">
        <v>182</v>
      </c>
      <c r="J10" s="80">
        <v>45780.0</v>
      </c>
      <c r="K10" s="86" t="s">
        <v>183</v>
      </c>
      <c r="L10" s="81">
        <v>53.58</v>
      </c>
      <c r="M10" s="86" t="s">
        <v>155</v>
      </c>
      <c r="N10" s="80">
        <v>45800.0</v>
      </c>
      <c r="O10" s="86" t="s">
        <v>184</v>
      </c>
      <c r="Q10" s="81">
        <v>151.7</v>
      </c>
      <c r="R10" s="86" t="s">
        <v>147</v>
      </c>
    </row>
    <row r="11">
      <c r="A11" s="97">
        <v>45784.0</v>
      </c>
      <c r="B11" s="86" t="s">
        <v>167</v>
      </c>
      <c r="C11" s="81">
        <v>18.48</v>
      </c>
      <c r="D11" s="86" t="s">
        <v>168</v>
      </c>
      <c r="E11" s="80">
        <v>45792.0</v>
      </c>
      <c r="F11" s="86" t="s">
        <v>185</v>
      </c>
      <c r="H11" s="81">
        <v>5.95</v>
      </c>
      <c r="I11" s="86" t="s">
        <v>164</v>
      </c>
      <c r="J11" s="80">
        <v>45780.0</v>
      </c>
      <c r="K11" s="86" t="s">
        <v>186</v>
      </c>
      <c r="L11" s="81">
        <v>984.08</v>
      </c>
      <c r="M11" s="86" t="s">
        <v>168</v>
      </c>
      <c r="N11" s="80">
        <v>45801.0</v>
      </c>
      <c r="O11" s="86" t="s">
        <v>187</v>
      </c>
      <c r="Q11" s="81">
        <v>330.66</v>
      </c>
      <c r="R11" s="86" t="s">
        <v>168</v>
      </c>
    </row>
    <row r="12">
      <c r="A12" s="97">
        <v>45784.0</v>
      </c>
      <c r="B12" s="86" t="s">
        <v>188</v>
      </c>
      <c r="C12" s="81">
        <v>46.53</v>
      </c>
      <c r="D12" s="86" t="s">
        <v>189</v>
      </c>
      <c r="E12" s="80">
        <v>45793.0</v>
      </c>
      <c r="F12" s="86" t="s">
        <v>185</v>
      </c>
      <c r="H12" s="81">
        <v>5.95</v>
      </c>
      <c r="I12" s="86" t="s">
        <v>164</v>
      </c>
      <c r="J12" s="80">
        <v>45780.0</v>
      </c>
      <c r="K12" s="86" t="s">
        <v>190</v>
      </c>
      <c r="L12" s="81">
        <v>81.0</v>
      </c>
      <c r="M12" s="86" t="s">
        <v>155</v>
      </c>
      <c r="N12" s="80">
        <v>45801.0</v>
      </c>
      <c r="O12" s="86" t="s">
        <v>191</v>
      </c>
      <c r="Q12" s="81">
        <v>196.0</v>
      </c>
      <c r="R12" s="86" t="s">
        <v>168</v>
      </c>
    </row>
    <row r="13">
      <c r="A13" s="97">
        <v>45785.0</v>
      </c>
      <c r="B13" s="86" t="s">
        <v>167</v>
      </c>
      <c r="C13" s="81">
        <v>2.16</v>
      </c>
      <c r="D13" s="86" t="s">
        <v>168</v>
      </c>
      <c r="E13" s="80">
        <v>45797.0</v>
      </c>
      <c r="F13" s="86" t="s">
        <v>192</v>
      </c>
      <c r="H13" s="81">
        <v>85.88</v>
      </c>
      <c r="I13" s="86" t="s">
        <v>164</v>
      </c>
      <c r="L13" s="99">
        <f>SUM(L4:L12)</f>
        <v>1418.89</v>
      </c>
      <c r="N13" s="80">
        <v>45811.0</v>
      </c>
      <c r="O13" s="86" t="s">
        <v>193</v>
      </c>
      <c r="P13" s="80">
        <v>45997.0</v>
      </c>
      <c r="Q13" s="81">
        <v>25.0</v>
      </c>
      <c r="R13" s="86" t="s">
        <v>161</v>
      </c>
    </row>
    <row r="14">
      <c r="A14" s="97">
        <v>45785.0</v>
      </c>
      <c r="B14" s="86" t="s">
        <v>194</v>
      </c>
      <c r="C14" s="81">
        <v>41.75</v>
      </c>
      <c r="D14" s="86" t="s">
        <v>155</v>
      </c>
      <c r="E14" s="80">
        <v>45798.0</v>
      </c>
      <c r="F14" s="86" t="s">
        <v>195</v>
      </c>
      <c r="H14" s="81">
        <v>153.69</v>
      </c>
      <c r="I14" s="86" t="s">
        <v>164</v>
      </c>
      <c r="N14" s="80">
        <v>45661.0</v>
      </c>
      <c r="O14" s="86" t="s">
        <v>196</v>
      </c>
      <c r="P14" s="80">
        <v>45935.0</v>
      </c>
      <c r="Q14" s="81">
        <v>270.0</v>
      </c>
      <c r="R14" s="86" t="s">
        <v>197</v>
      </c>
    </row>
    <row r="15">
      <c r="A15" s="97">
        <v>45786.0</v>
      </c>
      <c r="B15" s="86" t="s">
        <v>167</v>
      </c>
      <c r="C15" s="81">
        <v>15.66</v>
      </c>
      <c r="D15" s="86" t="s">
        <v>168</v>
      </c>
      <c r="E15" s="80">
        <v>45795.0</v>
      </c>
      <c r="F15" s="86" t="s">
        <v>198</v>
      </c>
      <c r="H15" s="81">
        <v>63.94</v>
      </c>
      <c r="I15" s="86" t="s">
        <v>164</v>
      </c>
      <c r="Q15" s="99">
        <f>SUM(Q4:Q14)</f>
        <v>2079.48</v>
      </c>
    </row>
    <row r="16">
      <c r="A16" s="97">
        <v>45786.0</v>
      </c>
      <c r="B16" s="86" t="s">
        <v>199</v>
      </c>
      <c r="C16" s="81">
        <v>10.0</v>
      </c>
      <c r="D16" s="86" t="s">
        <v>166</v>
      </c>
      <c r="E16" s="80">
        <v>45795.0</v>
      </c>
      <c r="F16" s="86" t="s">
        <v>187</v>
      </c>
      <c r="H16" s="81">
        <v>268.15</v>
      </c>
      <c r="I16" s="86" t="s">
        <v>168</v>
      </c>
      <c r="Q16" s="6"/>
    </row>
    <row r="17">
      <c r="A17" s="97">
        <v>45786.0</v>
      </c>
      <c r="B17" s="86" t="s">
        <v>200</v>
      </c>
      <c r="C17" s="81">
        <v>4.5</v>
      </c>
      <c r="D17" s="86" t="s">
        <v>164</v>
      </c>
      <c r="E17" s="80">
        <v>45873.0</v>
      </c>
      <c r="F17" s="86" t="s">
        <v>201</v>
      </c>
      <c r="G17" s="86" t="s">
        <v>202</v>
      </c>
      <c r="H17" s="81">
        <v>98.83</v>
      </c>
      <c r="I17" s="86" t="s">
        <v>203</v>
      </c>
    </row>
    <row r="18">
      <c r="A18" s="96">
        <v>45787.0</v>
      </c>
      <c r="B18" s="98" t="s">
        <v>174</v>
      </c>
      <c r="C18" s="81">
        <v>99.9</v>
      </c>
      <c r="D18" s="86" t="s">
        <v>175</v>
      </c>
      <c r="E18" s="80">
        <v>45909.0</v>
      </c>
      <c r="F18" s="86" t="s">
        <v>204</v>
      </c>
      <c r="G18" s="86" t="s">
        <v>205</v>
      </c>
      <c r="H18" s="81">
        <v>59.99</v>
      </c>
      <c r="I18" s="86" t="s">
        <v>203</v>
      </c>
    </row>
    <row r="19">
      <c r="A19" s="96">
        <v>45787.0</v>
      </c>
      <c r="B19" s="86" t="s">
        <v>206</v>
      </c>
      <c r="C19" s="81">
        <v>8.0</v>
      </c>
      <c r="D19" s="86" t="s">
        <v>164</v>
      </c>
      <c r="E19" s="80">
        <v>45967.0</v>
      </c>
      <c r="F19" s="86" t="s">
        <v>207</v>
      </c>
      <c r="G19" s="86" t="s">
        <v>208</v>
      </c>
      <c r="H19" s="81">
        <v>30.81</v>
      </c>
      <c r="I19" s="86" t="s">
        <v>203</v>
      </c>
    </row>
    <row r="20">
      <c r="A20" s="96">
        <v>45787.0</v>
      </c>
      <c r="B20" s="86" t="s">
        <v>209</v>
      </c>
      <c r="C20" s="81">
        <v>20.98</v>
      </c>
      <c r="D20" s="86" t="s">
        <v>210</v>
      </c>
      <c r="E20" s="80">
        <v>45688.0</v>
      </c>
      <c r="F20" s="86" t="s">
        <v>211</v>
      </c>
      <c r="G20" s="86" t="s">
        <v>212</v>
      </c>
      <c r="H20" s="81">
        <v>17.77</v>
      </c>
      <c r="I20" s="86" t="s">
        <v>203</v>
      </c>
    </row>
    <row r="21">
      <c r="A21" s="96">
        <v>45787.0</v>
      </c>
      <c r="B21" s="86" t="s">
        <v>213</v>
      </c>
      <c r="C21" s="81">
        <v>6.0</v>
      </c>
      <c r="D21" s="86" t="s">
        <v>164</v>
      </c>
      <c r="E21" s="80">
        <v>45698.0</v>
      </c>
      <c r="F21" s="86" t="s">
        <v>214</v>
      </c>
      <c r="G21" s="86" t="s">
        <v>215</v>
      </c>
      <c r="H21" s="81">
        <v>97.64</v>
      </c>
      <c r="I21" s="86" t="s">
        <v>203</v>
      </c>
    </row>
    <row r="22">
      <c r="A22" s="96">
        <v>45787.0</v>
      </c>
      <c r="B22" s="86" t="s">
        <v>216</v>
      </c>
      <c r="C22" s="81">
        <v>45.79</v>
      </c>
      <c r="D22" s="86" t="s">
        <v>164</v>
      </c>
      <c r="E22" s="80">
        <v>45700.0</v>
      </c>
      <c r="F22" s="86" t="s">
        <v>217</v>
      </c>
      <c r="G22" s="86" t="s">
        <v>218</v>
      </c>
      <c r="H22" s="81">
        <v>75.32</v>
      </c>
      <c r="I22" s="86" t="s">
        <v>203</v>
      </c>
    </row>
    <row r="23">
      <c r="A23" s="96">
        <v>45787.0</v>
      </c>
      <c r="B23" s="86" t="s">
        <v>219</v>
      </c>
      <c r="C23" s="81">
        <v>93.24</v>
      </c>
      <c r="D23" s="86" t="s">
        <v>189</v>
      </c>
      <c r="E23" s="80">
        <v>45721.0</v>
      </c>
      <c r="F23" s="86" t="s">
        <v>220</v>
      </c>
      <c r="G23" s="86" t="s">
        <v>221</v>
      </c>
      <c r="H23" s="81">
        <v>16.31</v>
      </c>
      <c r="I23" s="86" t="s">
        <v>203</v>
      </c>
    </row>
    <row r="24">
      <c r="A24" s="96">
        <v>45787.0</v>
      </c>
      <c r="B24" s="86" t="s">
        <v>222</v>
      </c>
      <c r="C24" s="81">
        <v>15.11</v>
      </c>
      <c r="D24" s="86" t="s">
        <v>164</v>
      </c>
      <c r="E24" s="80">
        <v>45726.0</v>
      </c>
      <c r="F24" s="86" t="s">
        <v>223</v>
      </c>
      <c r="G24" s="86" t="s">
        <v>224</v>
      </c>
      <c r="H24" s="81">
        <v>121.25</v>
      </c>
      <c r="I24" s="86" t="s">
        <v>203</v>
      </c>
    </row>
    <row r="25">
      <c r="A25" s="96">
        <v>45788.0</v>
      </c>
      <c r="B25" s="86" t="s">
        <v>167</v>
      </c>
      <c r="C25" s="81">
        <v>70.63</v>
      </c>
      <c r="D25" s="86" t="s">
        <v>168</v>
      </c>
      <c r="E25" s="80">
        <v>45737.0</v>
      </c>
      <c r="F25" s="86" t="s">
        <v>225</v>
      </c>
      <c r="G25" s="86" t="s">
        <v>226</v>
      </c>
      <c r="H25" s="81">
        <v>18.91</v>
      </c>
      <c r="I25" s="86" t="s">
        <v>203</v>
      </c>
    </row>
    <row r="26">
      <c r="A26" s="96">
        <v>45789.0</v>
      </c>
      <c r="B26" s="86" t="s">
        <v>167</v>
      </c>
      <c r="C26" s="81">
        <v>4.52</v>
      </c>
      <c r="D26" s="86" t="s">
        <v>168</v>
      </c>
      <c r="E26" s="80">
        <v>45739.0</v>
      </c>
      <c r="F26" s="86" t="s">
        <v>220</v>
      </c>
      <c r="G26" s="86" t="s">
        <v>221</v>
      </c>
      <c r="H26" s="81">
        <v>16.31</v>
      </c>
      <c r="I26" s="86" t="s">
        <v>203</v>
      </c>
    </row>
    <row r="27">
      <c r="A27" s="96">
        <v>45789.0</v>
      </c>
      <c r="B27" s="86" t="s">
        <v>227</v>
      </c>
      <c r="C27" s="81">
        <v>103.7</v>
      </c>
      <c r="D27" s="86" t="s">
        <v>168</v>
      </c>
      <c r="E27" s="80">
        <v>45742.0</v>
      </c>
      <c r="F27" s="86" t="s">
        <v>228</v>
      </c>
      <c r="G27" s="86" t="s">
        <v>229</v>
      </c>
      <c r="H27" s="81">
        <v>70.85</v>
      </c>
      <c r="I27" s="86" t="s">
        <v>203</v>
      </c>
    </row>
    <row r="28">
      <c r="A28" s="96">
        <v>45789.0</v>
      </c>
      <c r="B28" s="86" t="s">
        <v>230</v>
      </c>
      <c r="C28" s="81">
        <v>37.9</v>
      </c>
      <c r="D28" s="86" t="s">
        <v>168</v>
      </c>
      <c r="E28" s="80">
        <v>45760.0</v>
      </c>
      <c r="F28" s="86" t="s">
        <v>231</v>
      </c>
      <c r="G28" s="86" t="s">
        <v>232</v>
      </c>
      <c r="H28" s="81">
        <v>9.47</v>
      </c>
      <c r="I28" s="86" t="s">
        <v>203</v>
      </c>
    </row>
    <row r="29">
      <c r="A29" s="96">
        <v>45789.0</v>
      </c>
      <c r="B29" s="86" t="s">
        <v>172</v>
      </c>
      <c r="C29" s="81">
        <v>132.16</v>
      </c>
      <c r="D29" s="86" t="s">
        <v>168</v>
      </c>
      <c r="E29" s="80">
        <v>45793.0</v>
      </c>
      <c r="F29" s="86" t="s">
        <v>233</v>
      </c>
      <c r="G29" s="86" t="s">
        <v>234</v>
      </c>
      <c r="H29" s="81">
        <v>14.44</v>
      </c>
      <c r="I29" s="86" t="s">
        <v>203</v>
      </c>
    </row>
    <row r="30">
      <c r="A30" s="96">
        <v>45790.0</v>
      </c>
      <c r="B30" s="86" t="s">
        <v>235</v>
      </c>
      <c r="C30" s="81">
        <v>5.0</v>
      </c>
      <c r="D30" s="86" t="s">
        <v>164</v>
      </c>
      <c r="E30" s="80">
        <v>45800.0</v>
      </c>
      <c r="F30" s="86" t="s">
        <v>236</v>
      </c>
      <c r="G30" s="86" t="s">
        <v>237</v>
      </c>
      <c r="H30" s="81">
        <v>62.3</v>
      </c>
      <c r="I30" s="86" t="s">
        <v>203</v>
      </c>
    </row>
    <row r="31">
      <c r="A31" s="96">
        <v>45790.0</v>
      </c>
      <c r="B31" s="86" t="s">
        <v>167</v>
      </c>
      <c r="C31" s="81">
        <v>25.55</v>
      </c>
      <c r="D31" s="86" t="s">
        <v>168</v>
      </c>
      <c r="E31" s="80">
        <v>45896.0</v>
      </c>
      <c r="F31" s="86" t="s">
        <v>238</v>
      </c>
      <c r="G31" s="86" t="s">
        <v>239</v>
      </c>
      <c r="H31" s="81">
        <v>256.0</v>
      </c>
      <c r="I31" s="86" t="s">
        <v>240</v>
      </c>
    </row>
    <row r="32">
      <c r="A32" s="96">
        <v>45790.0</v>
      </c>
      <c r="B32" s="86" t="s">
        <v>167</v>
      </c>
      <c r="C32" s="81">
        <v>31.83</v>
      </c>
      <c r="D32" s="86" t="s">
        <v>168</v>
      </c>
      <c r="E32" s="80">
        <v>45789.0</v>
      </c>
      <c r="F32" s="86" t="s">
        <v>241</v>
      </c>
      <c r="G32" s="86" t="s">
        <v>242</v>
      </c>
      <c r="H32" s="81">
        <v>273.0</v>
      </c>
      <c r="I32" s="86" t="s">
        <v>243</v>
      </c>
    </row>
    <row r="33">
      <c r="A33" s="96">
        <v>45791.0</v>
      </c>
      <c r="B33" s="86" t="s">
        <v>167</v>
      </c>
      <c r="C33" s="81">
        <v>4.61</v>
      </c>
      <c r="D33" s="86" t="s">
        <v>168</v>
      </c>
      <c r="E33" s="100">
        <v>46015.0</v>
      </c>
      <c r="F33" s="86" t="s">
        <v>244</v>
      </c>
      <c r="G33" s="86" t="s">
        <v>245</v>
      </c>
      <c r="H33" s="81">
        <v>15.12</v>
      </c>
      <c r="I33" s="86" t="s">
        <v>246</v>
      </c>
    </row>
    <row r="34">
      <c r="A34" s="96">
        <v>45791.0</v>
      </c>
      <c r="B34" s="86" t="s">
        <v>167</v>
      </c>
      <c r="C34" s="81">
        <v>10.88</v>
      </c>
      <c r="D34" s="86" t="s">
        <v>168</v>
      </c>
      <c r="E34" s="80">
        <v>45763.0</v>
      </c>
      <c r="F34" s="86" t="s">
        <v>247</v>
      </c>
      <c r="G34" s="86" t="s">
        <v>248</v>
      </c>
      <c r="H34" s="81">
        <v>5.61</v>
      </c>
      <c r="I34" s="86" t="s">
        <v>246</v>
      </c>
    </row>
    <row r="35">
      <c r="A35" s="96">
        <v>45792.0</v>
      </c>
      <c r="B35" s="86" t="s">
        <v>249</v>
      </c>
      <c r="C35" s="81">
        <v>157.55</v>
      </c>
      <c r="D35" s="86" t="s">
        <v>250</v>
      </c>
      <c r="E35" s="80">
        <v>45795.0</v>
      </c>
      <c r="F35" s="98" t="s">
        <v>251</v>
      </c>
      <c r="H35" s="81">
        <v>32.9</v>
      </c>
      <c r="I35" s="86" t="s">
        <v>246</v>
      </c>
    </row>
    <row r="36">
      <c r="A36" s="96">
        <v>45792.0</v>
      </c>
      <c r="B36" s="86" t="s">
        <v>167</v>
      </c>
      <c r="C36" s="81">
        <v>18.9</v>
      </c>
      <c r="D36" s="86" t="s">
        <v>168</v>
      </c>
      <c r="E36" s="80">
        <v>45805.0</v>
      </c>
      <c r="F36" s="86" t="s">
        <v>252</v>
      </c>
      <c r="H36" s="81">
        <v>35.0</v>
      </c>
      <c r="I36" s="86" t="s">
        <v>246</v>
      </c>
    </row>
    <row r="37">
      <c r="A37" s="96">
        <v>45792.0</v>
      </c>
      <c r="B37" s="86" t="s">
        <v>199</v>
      </c>
      <c r="C37" s="81">
        <v>17.0</v>
      </c>
      <c r="D37" s="86" t="s">
        <v>166</v>
      </c>
      <c r="E37" s="80">
        <v>45737.0</v>
      </c>
      <c r="F37" s="86" t="s">
        <v>253</v>
      </c>
      <c r="G37" s="86" t="s">
        <v>254</v>
      </c>
      <c r="H37" s="81">
        <v>12.99</v>
      </c>
      <c r="I37" s="86" t="s">
        <v>255</v>
      </c>
    </row>
    <row r="38">
      <c r="A38" s="96">
        <v>45792.0</v>
      </c>
      <c r="B38" s="86" t="s">
        <v>256</v>
      </c>
      <c r="C38" s="81">
        <v>35.0</v>
      </c>
      <c r="D38" s="86" t="s">
        <v>178</v>
      </c>
      <c r="E38" s="80">
        <v>45733.0</v>
      </c>
      <c r="F38" s="86" t="s">
        <v>257</v>
      </c>
      <c r="G38" s="86" t="s">
        <v>258</v>
      </c>
      <c r="H38" s="81">
        <v>90.69</v>
      </c>
      <c r="I38" s="86" t="s">
        <v>155</v>
      </c>
    </row>
    <row r="39">
      <c r="A39" s="96">
        <v>45792.0</v>
      </c>
      <c r="B39" s="86" t="s">
        <v>167</v>
      </c>
      <c r="C39" s="81">
        <v>11.57</v>
      </c>
      <c r="D39" s="86" t="s">
        <v>168</v>
      </c>
      <c r="E39" s="80">
        <v>45762.0</v>
      </c>
      <c r="F39" s="86" t="s">
        <v>257</v>
      </c>
      <c r="G39" s="86" t="s">
        <v>259</v>
      </c>
      <c r="H39" s="81">
        <v>86.49</v>
      </c>
      <c r="I39" s="86" t="s">
        <v>155</v>
      </c>
    </row>
    <row r="40">
      <c r="A40" s="96">
        <v>45792.0</v>
      </c>
      <c r="B40" s="86" t="s">
        <v>167</v>
      </c>
      <c r="C40" s="81">
        <v>10.93</v>
      </c>
      <c r="D40" s="86" t="s">
        <v>168</v>
      </c>
      <c r="E40" s="80">
        <v>45766.0</v>
      </c>
      <c r="F40" s="86" t="s">
        <v>257</v>
      </c>
      <c r="G40" s="86" t="s">
        <v>259</v>
      </c>
      <c r="H40" s="81">
        <v>156.37</v>
      </c>
      <c r="I40" s="86" t="s">
        <v>155</v>
      </c>
    </row>
    <row r="41">
      <c r="A41" s="96">
        <v>45792.0</v>
      </c>
      <c r="B41" s="86" t="s">
        <v>167</v>
      </c>
      <c r="C41" s="81">
        <v>26.63</v>
      </c>
      <c r="D41" s="86" t="s">
        <v>168</v>
      </c>
      <c r="E41" s="80">
        <v>45799.0</v>
      </c>
      <c r="F41" s="86" t="s">
        <v>257</v>
      </c>
      <c r="G41" s="86" t="s">
        <v>260</v>
      </c>
      <c r="H41" s="81">
        <v>75.23</v>
      </c>
      <c r="I41" s="86" t="s">
        <v>155</v>
      </c>
    </row>
    <row r="42">
      <c r="A42" s="96">
        <v>45793.0</v>
      </c>
      <c r="B42" s="86" t="s">
        <v>163</v>
      </c>
      <c r="C42" s="81">
        <v>9.0</v>
      </c>
      <c r="D42" s="86" t="s">
        <v>164</v>
      </c>
      <c r="E42" s="80">
        <v>45806.0</v>
      </c>
      <c r="F42" s="86" t="s">
        <v>261</v>
      </c>
      <c r="G42" s="86" t="s">
        <v>234</v>
      </c>
      <c r="H42" s="81">
        <v>68.0</v>
      </c>
      <c r="I42" s="86" t="s">
        <v>155</v>
      </c>
    </row>
    <row r="43">
      <c r="A43" s="96">
        <v>45793.0</v>
      </c>
      <c r="B43" s="86" t="s">
        <v>167</v>
      </c>
      <c r="C43" s="81">
        <v>8.3</v>
      </c>
      <c r="D43" s="86" t="s">
        <v>168</v>
      </c>
      <c r="E43" s="80">
        <v>45783.0</v>
      </c>
      <c r="F43" s="86" t="s">
        <v>262</v>
      </c>
      <c r="H43" s="81">
        <v>235.52</v>
      </c>
      <c r="I43" s="86" t="s">
        <v>263</v>
      </c>
    </row>
    <row r="44">
      <c r="A44" s="96">
        <v>45794.0</v>
      </c>
      <c r="B44" s="86" t="s">
        <v>167</v>
      </c>
      <c r="C44" s="81">
        <v>46.88</v>
      </c>
      <c r="D44" s="86" t="s">
        <v>168</v>
      </c>
      <c r="E44" s="100">
        <v>45984.0</v>
      </c>
      <c r="F44" s="86" t="s">
        <v>264</v>
      </c>
      <c r="G44" s="86" t="s">
        <v>265</v>
      </c>
      <c r="H44" s="81">
        <v>9.68</v>
      </c>
      <c r="I44" s="86" t="s">
        <v>175</v>
      </c>
    </row>
    <row r="45">
      <c r="A45" s="96">
        <v>45794.0</v>
      </c>
      <c r="B45" s="86" t="s">
        <v>266</v>
      </c>
      <c r="C45" s="81">
        <v>104.6</v>
      </c>
      <c r="D45" s="86" t="s">
        <v>164</v>
      </c>
      <c r="E45" s="80">
        <v>45691.0</v>
      </c>
      <c r="F45" s="86" t="s">
        <v>267</v>
      </c>
      <c r="G45" s="86" t="s">
        <v>218</v>
      </c>
      <c r="H45" s="81">
        <v>13.3</v>
      </c>
      <c r="I45" s="86" t="s">
        <v>175</v>
      </c>
    </row>
    <row r="46">
      <c r="A46" s="96">
        <v>45795.0</v>
      </c>
      <c r="B46" s="86" t="s">
        <v>167</v>
      </c>
      <c r="C46" s="81">
        <v>11.56</v>
      </c>
      <c r="D46" s="86" t="s">
        <v>164</v>
      </c>
      <c r="E46" s="80">
        <v>45780.0</v>
      </c>
      <c r="F46" s="86" t="s">
        <v>268</v>
      </c>
      <c r="H46" s="81">
        <v>24.9</v>
      </c>
      <c r="I46" s="86" t="s">
        <v>175</v>
      </c>
    </row>
    <row r="47">
      <c r="A47" s="96">
        <v>45799.0</v>
      </c>
      <c r="B47" s="86" t="s">
        <v>194</v>
      </c>
      <c r="C47" s="81">
        <v>50.75</v>
      </c>
      <c r="D47" s="86" t="s">
        <v>155</v>
      </c>
      <c r="E47" s="80">
        <v>45781.0</v>
      </c>
      <c r="F47" s="98" t="s">
        <v>251</v>
      </c>
      <c r="H47" s="81">
        <v>9.9</v>
      </c>
      <c r="I47" s="86" t="s">
        <v>175</v>
      </c>
    </row>
    <row r="48">
      <c r="C48" s="99">
        <f>SUM(C4:C47)</f>
        <v>2027</v>
      </c>
      <c r="E48" s="80">
        <v>45784.0</v>
      </c>
      <c r="F48" s="98" t="s">
        <v>251</v>
      </c>
      <c r="H48" s="81">
        <v>14.9</v>
      </c>
      <c r="I48" s="86" t="s">
        <v>175</v>
      </c>
    </row>
    <row r="49">
      <c r="E49" s="80">
        <v>45784.0</v>
      </c>
      <c r="F49" s="98" t="s">
        <v>251</v>
      </c>
      <c r="H49" s="81">
        <v>14.9</v>
      </c>
      <c r="I49" s="86" t="s">
        <v>175</v>
      </c>
    </row>
    <row r="50">
      <c r="E50" s="80">
        <v>45791.0</v>
      </c>
      <c r="F50" s="86" t="s">
        <v>269</v>
      </c>
      <c r="H50" s="81">
        <v>53.9</v>
      </c>
      <c r="I50" s="86" t="s">
        <v>175</v>
      </c>
    </row>
    <row r="51">
      <c r="E51" s="80">
        <v>45794.0</v>
      </c>
      <c r="F51" s="98" t="s">
        <v>270</v>
      </c>
      <c r="H51" s="81">
        <v>59.9</v>
      </c>
      <c r="I51" s="86" t="s">
        <v>175</v>
      </c>
    </row>
    <row r="52">
      <c r="E52" s="80">
        <v>45796.0</v>
      </c>
      <c r="F52" s="86" t="s">
        <v>271</v>
      </c>
      <c r="H52" s="81">
        <v>9.99</v>
      </c>
      <c r="I52" s="86" t="s">
        <v>175</v>
      </c>
    </row>
    <row r="53">
      <c r="E53" s="80">
        <v>45798.0</v>
      </c>
      <c r="F53" s="86" t="s">
        <v>272</v>
      </c>
      <c r="H53" s="81">
        <v>18.61</v>
      </c>
      <c r="I53" s="86" t="s">
        <v>175</v>
      </c>
    </row>
    <row r="54">
      <c r="H54" s="99">
        <f>SUM(H4:H53)</f>
        <v>3154.46</v>
      </c>
    </row>
    <row r="57">
      <c r="H57" s="81">
        <v>315.41</v>
      </c>
      <c r="I57" s="86" t="s">
        <v>164</v>
      </c>
    </row>
    <row r="58">
      <c r="H58" s="81">
        <v>268.15</v>
      </c>
      <c r="I58" s="86" t="s">
        <v>168</v>
      </c>
    </row>
    <row r="59">
      <c r="H59" s="6">
        <f>SUM(H44:H53)</f>
        <v>229.98</v>
      </c>
      <c r="I59" s="86" t="s">
        <v>175</v>
      </c>
    </row>
    <row r="60">
      <c r="H60" s="81">
        <v>235.52</v>
      </c>
      <c r="I60" s="86" t="s">
        <v>273</v>
      </c>
    </row>
    <row r="61">
      <c r="H61" s="6">
        <f>SUM(H38:H42)</f>
        <v>476.78</v>
      </c>
      <c r="I61" s="86" t="s">
        <v>155</v>
      </c>
    </row>
    <row r="62">
      <c r="H62" s="6">
        <f>SUM(H33:H36)</f>
        <v>88.63</v>
      </c>
      <c r="I62" s="86" t="s">
        <v>246</v>
      </c>
    </row>
    <row r="63">
      <c r="H63" s="81">
        <v>273.0</v>
      </c>
      <c r="I63" s="86" t="s">
        <v>274</v>
      </c>
    </row>
    <row r="64">
      <c r="H64" s="81">
        <v>256.0</v>
      </c>
      <c r="I64" s="86" t="s">
        <v>240</v>
      </c>
    </row>
    <row r="65">
      <c r="H65" s="6">
        <f>SUM(H17:H30)</f>
        <v>710.2</v>
      </c>
      <c r="I65" s="86" t="s">
        <v>203</v>
      </c>
    </row>
    <row r="66">
      <c r="H66" s="81">
        <v>100.0</v>
      </c>
      <c r="I66" s="86" t="s">
        <v>149</v>
      </c>
    </row>
    <row r="67">
      <c r="H67" s="81">
        <v>4.5</v>
      </c>
      <c r="I67" s="86" t="s">
        <v>166</v>
      </c>
    </row>
    <row r="68">
      <c r="H68" s="81">
        <v>18.7</v>
      </c>
      <c r="I68" s="86" t="s">
        <v>275</v>
      </c>
    </row>
    <row r="69">
      <c r="H69" s="81">
        <v>95.0</v>
      </c>
      <c r="I69" s="86" t="s">
        <v>276</v>
      </c>
    </row>
    <row r="70">
      <c r="H70" s="81">
        <v>69.9</v>
      </c>
      <c r="I70" s="86" t="s">
        <v>159</v>
      </c>
    </row>
    <row r="71">
      <c r="H71" s="81">
        <v>12.99</v>
      </c>
      <c r="I71" s="86" t="s">
        <v>255</v>
      </c>
    </row>
  </sheetData>
  <autoFilter ref="$E$3:$I$54">
    <sortState ref="E3:I54">
      <sortCondition ref="I3:I54"/>
    </sortState>
  </autoFilter>
  <mergeCells count="4">
    <mergeCell ref="A1:C1"/>
    <mergeCell ref="E1:H1"/>
    <mergeCell ref="J1:L1"/>
    <mergeCell ref="N1:Q1"/>
  </mergeCells>
  <hyperlinks>
    <hyperlink r:id="rId1" ref="B9"/>
    <hyperlink r:id="rId2" ref="B18"/>
    <hyperlink r:id="rId3" ref="F35"/>
    <hyperlink r:id="rId4" ref="F47"/>
    <hyperlink r:id="rId5" ref="F48"/>
    <hyperlink r:id="rId6" ref="F49"/>
    <hyperlink r:id="rId7" ref="F51"/>
  </hyperlinks>
  <drawing r:id="rId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4" max="4" width="22.43"/>
    <col customWidth="1" min="5" max="5" width="23.0"/>
    <col customWidth="1" min="9" max="9" width="20.43"/>
    <col customWidth="1" min="13" max="13" width="19.29"/>
  </cols>
  <sheetData>
    <row r="1">
      <c r="A1" s="7" t="s">
        <v>23</v>
      </c>
      <c r="B1" s="8">
        <f>F19</f>
        <v>13614.15</v>
      </c>
      <c r="C1" s="7" t="s">
        <v>23</v>
      </c>
      <c r="D1" s="8">
        <f>F20</f>
        <v>1237.65</v>
      </c>
      <c r="E1" s="7" t="s">
        <v>23</v>
      </c>
      <c r="F1" s="8">
        <f>F21</f>
        <v>4950.6</v>
      </c>
      <c r="G1" s="7" t="s">
        <v>23</v>
      </c>
      <c r="H1" s="8">
        <f>F22</f>
        <v>2475.3</v>
      </c>
      <c r="I1" s="7" t="s">
        <v>23</v>
      </c>
      <c r="J1" s="8">
        <f>F23</f>
        <v>2475.3</v>
      </c>
      <c r="K1" s="9" t="s">
        <v>24</v>
      </c>
      <c r="L1" s="10">
        <f t="shared" ref="L1:L2" si="1">SUM(B1,D1,F1,H1,J1)</f>
        <v>24753</v>
      </c>
      <c r="M1" s="11"/>
    </row>
    <row r="2">
      <c r="A2" s="12" t="s">
        <v>25</v>
      </c>
      <c r="B2" s="13">
        <f>B1-B27</f>
        <v>-1344.57</v>
      </c>
      <c r="C2" s="12" t="s">
        <v>25</v>
      </c>
      <c r="D2" s="13">
        <f>D1-D15</f>
        <v>965.57</v>
      </c>
      <c r="E2" s="12" t="s">
        <v>25</v>
      </c>
      <c r="F2" s="13">
        <f>F1-F15</f>
        <v>3855.07</v>
      </c>
      <c r="G2" s="12" t="s">
        <v>25</v>
      </c>
      <c r="H2" s="13">
        <f>H1-H15</f>
        <v>2475.3</v>
      </c>
      <c r="I2" s="12" t="s">
        <v>25</v>
      </c>
      <c r="J2" s="13">
        <f>J1-J15</f>
        <v>2475.3</v>
      </c>
      <c r="K2" s="14" t="s">
        <v>26</v>
      </c>
      <c r="L2" s="15">
        <f t="shared" si="1"/>
        <v>8426.67</v>
      </c>
      <c r="M2" s="11"/>
    </row>
    <row r="3">
      <c r="A3" s="16" t="s">
        <v>27</v>
      </c>
      <c r="B3" s="17"/>
      <c r="C3" s="71" t="s">
        <v>77</v>
      </c>
      <c r="D3" s="18"/>
      <c r="E3" s="71" t="s">
        <v>80</v>
      </c>
      <c r="F3" s="18"/>
      <c r="G3" s="16" t="s">
        <v>30</v>
      </c>
      <c r="H3" s="18"/>
      <c r="I3" s="16" t="s">
        <v>31</v>
      </c>
      <c r="J3" s="18"/>
      <c r="M3" s="11"/>
    </row>
    <row r="4">
      <c r="A4" s="27" t="s">
        <v>32</v>
      </c>
      <c r="B4" s="20">
        <v>127.0</v>
      </c>
      <c r="C4" s="27" t="s">
        <v>34</v>
      </c>
      <c r="D4" s="20">
        <v>14.0</v>
      </c>
      <c r="E4" s="27" t="s">
        <v>277</v>
      </c>
      <c r="F4" s="20">
        <v>140.0</v>
      </c>
      <c r="G4" s="21"/>
      <c r="H4" s="22"/>
      <c r="I4" s="25"/>
      <c r="J4" s="26"/>
      <c r="K4" s="11"/>
      <c r="L4" s="11"/>
      <c r="M4" s="11"/>
    </row>
    <row r="5">
      <c r="A5" s="27" t="s">
        <v>35</v>
      </c>
      <c r="B5" s="20">
        <v>95.0</v>
      </c>
      <c r="C5" s="27" t="s">
        <v>36</v>
      </c>
      <c r="D5" s="20">
        <v>17.91</v>
      </c>
      <c r="E5" s="27" t="s">
        <v>278</v>
      </c>
      <c r="F5" s="20">
        <v>100.0</v>
      </c>
      <c r="G5" s="25"/>
      <c r="H5" s="26"/>
      <c r="I5" s="25"/>
      <c r="J5" s="26"/>
      <c r="K5" s="11"/>
      <c r="L5" s="11"/>
      <c r="M5" s="11"/>
    </row>
    <row r="6">
      <c r="A6" s="27" t="s">
        <v>37</v>
      </c>
      <c r="B6" s="20">
        <v>152.85</v>
      </c>
      <c r="C6" s="27" t="s">
        <v>100</v>
      </c>
      <c r="D6" s="20">
        <v>55.9</v>
      </c>
      <c r="E6" s="27" t="s">
        <v>99</v>
      </c>
      <c r="F6" s="20">
        <v>150.0</v>
      </c>
      <c r="G6" s="25"/>
      <c r="H6" s="26"/>
      <c r="I6" s="25"/>
      <c r="J6" s="26"/>
      <c r="K6" s="11"/>
      <c r="L6" s="28">
        <f>5355.98/2</f>
        <v>2677.99</v>
      </c>
      <c r="M6" s="35" t="s">
        <v>279</v>
      </c>
    </row>
    <row r="7">
      <c r="A7" s="27" t="s">
        <v>91</v>
      </c>
      <c r="B7" s="20">
        <v>214.0</v>
      </c>
      <c r="C7" s="27" t="s">
        <v>40</v>
      </c>
      <c r="D7" s="20">
        <v>19.9</v>
      </c>
      <c r="E7" s="19" t="s">
        <v>127</v>
      </c>
      <c r="F7" s="24">
        <v>634.39</v>
      </c>
      <c r="G7" s="25"/>
      <c r="H7" s="26"/>
      <c r="I7" s="25"/>
      <c r="J7" s="26"/>
      <c r="K7" s="11"/>
      <c r="L7" s="66">
        <f>5355.98/3</f>
        <v>1785.326667</v>
      </c>
      <c r="M7" s="35" t="s">
        <v>280</v>
      </c>
    </row>
    <row r="8">
      <c r="A8" s="27" t="s">
        <v>92</v>
      </c>
      <c r="B8" s="20">
        <v>247.16</v>
      </c>
      <c r="C8" s="27" t="s">
        <v>44</v>
      </c>
      <c r="D8" s="20">
        <v>11.6</v>
      </c>
      <c r="E8" s="19" t="s">
        <v>281</v>
      </c>
      <c r="F8" s="20">
        <v>71.14</v>
      </c>
      <c r="G8" s="25"/>
      <c r="H8" s="26"/>
      <c r="I8" s="25"/>
      <c r="J8" s="26"/>
      <c r="K8" s="28"/>
    </row>
    <row r="9">
      <c r="A9" s="27" t="s">
        <v>43</v>
      </c>
      <c r="B9" s="20">
        <v>352.5</v>
      </c>
      <c r="C9" s="27" t="s">
        <v>101</v>
      </c>
      <c r="D9" s="20">
        <v>35.9</v>
      </c>
      <c r="E9" s="31"/>
      <c r="F9" s="26"/>
      <c r="G9" s="25"/>
      <c r="H9" s="26"/>
      <c r="I9" s="25"/>
      <c r="J9" s="26"/>
      <c r="K9" s="11"/>
      <c r="L9" s="66">
        <f>12320.88/2</f>
        <v>6160.44</v>
      </c>
      <c r="M9" s="35" t="s">
        <v>282</v>
      </c>
    </row>
    <row r="10">
      <c r="A10" s="73" t="s">
        <v>102</v>
      </c>
      <c r="B10" s="20">
        <v>0.0</v>
      </c>
      <c r="C10" s="27" t="s">
        <v>283</v>
      </c>
      <c r="D10" s="20">
        <v>116.87</v>
      </c>
      <c r="E10" s="25"/>
      <c r="F10" s="26"/>
      <c r="G10" s="25"/>
      <c r="H10" s="26"/>
      <c r="I10" s="25"/>
      <c r="J10" s="26"/>
      <c r="K10" s="11"/>
      <c r="L10" s="66">
        <f>12320.88/3</f>
        <v>4106.96</v>
      </c>
      <c r="M10" s="35" t="s">
        <v>284</v>
      </c>
      <c r="N10" s="91">
        <v>20272.36</v>
      </c>
      <c r="O10" s="101"/>
    </row>
    <row r="11">
      <c r="A11" s="27" t="s">
        <v>104</v>
      </c>
      <c r="B11" s="20">
        <v>74.0</v>
      </c>
      <c r="C11" s="21"/>
      <c r="D11" s="23"/>
      <c r="E11" s="31"/>
      <c r="F11" s="26"/>
      <c r="G11" s="31"/>
      <c r="H11" s="26"/>
      <c r="I11" s="25"/>
      <c r="J11" s="26"/>
      <c r="K11" s="11"/>
      <c r="N11" s="91">
        <v>4106.96</v>
      </c>
      <c r="O11" s="101"/>
    </row>
    <row r="12">
      <c r="A12" s="32"/>
      <c r="B12" s="33"/>
      <c r="C12" s="21"/>
      <c r="D12" s="23"/>
      <c r="E12" s="31"/>
      <c r="F12" s="26"/>
      <c r="G12" s="31"/>
      <c r="H12" s="26"/>
      <c r="I12" s="31"/>
      <c r="J12" s="26"/>
      <c r="K12" s="11"/>
      <c r="L12" s="66">
        <v>2245.69</v>
      </c>
      <c r="M12" s="11"/>
      <c r="N12" s="101"/>
      <c r="O12" s="101"/>
    </row>
    <row r="13">
      <c r="A13" s="31"/>
      <c r="B13" s="23"/>
      <c r="C13" s="31"/>
      <c r="D13" s="26"/>
      <c r="E13" s="31"/>
      <c r="F13" s="26"/>
      <c r="G13" s="31"/>
      <c r="H13" s="26"/>
      <c r="I13" s="31"/>
      <c r="J13" s="26"/>
      <c r="K13" s="11"/>
      <c r="L13" s="66">
        <v>342.82</v>
      </c>
      <c r="M13" s="11"/>
      <c r="N13" s="101"/>
      <c r="O13" s="101"/>
    </row>
    <row r="14">
      <c r="A14" s="31"/>
      <c r="B14" s="26"/>
      <c r="C14" s="31"/>
      <c r="D14" s="26"/>
      <c r="E14" s="31"/>
      <c r="F14" s="26"/>
      <c r="G14" s="31"/>
      <c r="H14" s="26"/>
      <c r="I14" s="31"/>
      <c r="J14" s="26"/>
      <c r="K14" s="11"/>
      <c r="L14" s="66">
        <f>SUM(L12:Z13)</f>
        <v>2588.51</v>
      </c>
      <c r="M14" s="35" t="s">
        <v>285</v>
      </c>
      <c r="N14" s="101"/>
      <c r="O14" s="101"/>
    </row>
    <row r="15">
      <c r="A15" s="25" t="s">
        <v>49</v>
      </c>
      <c r="B15" s="38">
        <f>SUM(B4:B14)</f>
        <v>1262.51</v>
      </c>
      <c r="C15" s="25" t="s">
        <v>50</v>
      </c>
      <c r="D15" s="26">
        <f>SUM(D4:D14)</f>
        <v>272.08</v>
      </c>
      <c r="E15" s="39" t="s">
        <v>50</v>
      </c>
      <c r="F15" s="40">
        <f>SUM(F4:F14)</f>
        <v>1095.53</v>
      </c>
      <c r="G15" s="39" t="s">
        <v>50</v>
      </c>
      <c r="H15" s="40">
        <f>SUM(H4:H14)</f>
        <v>0</v>
      </c>
      <c r="I15" s="39" t="s">
        <v>50</v>
      </c>
      <c r="J15" s="40">
        <f>SUM(J4:J14)</f>
        <v>0</v>
      </c>
      <c r="K15" s="11"/>
      <c r="L15" s="11"/>
      <c r="M15" s="11"/>
      <c r="N15" s="101"/>
      <c r="O15" s="101"/>
    </row>
    <row r="16">
      <c r="A16" s="41" t="s">
        <v>51</v>
      </c>
      <c r="B16" s="17"/>
      <c r="C16" s="102" t="s">
        <v>286</v>
      </c>
      <c r="D16" s="42"/>
      <c r="E16" s="42"/>
      <c r="F16" s="42"/>
      <c r="G16" s="11"/>
      <c r="H16" s="42"/>
      <c r="I16" s="42"/>
      <c r="J16" s="42"/>
      <c r="K16" s="42"/>
      <c r="L16" s="42"/>
      <c r="M16" s="42"/>
      <c r="N16" s="101"/>
      <c r="O16" s="101"/>
    </row>
    <row r="17">
      <c r="A17" s="27" t="s">
        <v>52</v>
      </c>
      <c r="B17" s="20">
        <v>2362.0</v>
      </c>
      <c r="C17" s="103">
        <v>45824.0</v>
      </c>
      <c r="D17" s="44" t="s">
        <v>53</v>
      </c>
      <c r="E17" s="17"/>
      <c r="F17" s="18"/>
      <c r="G17" s="45"/>
      <c r="H17" s="79" t="s">
        <v>287</v>
      </c>
      <c r="M17" s="47"/>
      <c r="N17" s="104">
        <v>24453.0</v>
      </c>
      <c r="O17" s="101"/>
    </row>
    <row r="18">
      <c r="A18" s="27" t="s">
        <v>55</v>
      </c>
      <c r="B18" s="20">
        <v>3050.0</v>
      </c>
      <c r="C18" s="103">
        <v>45830.0</v>
      </c>
      <c r="D18" s="51" t="s">
        <v>56</v>
      </c>
      <c r="E18" s="52">
        <v>24753.0</v>
      </c>
      <c r="F18" s="18"/>
      <c r="G18" s="45"/>
      <c r="M18" s="47"/>
      <c r="N18" s="104">
        <v>235.0</v>
      </c>
      <c r="O18" s="105" t="s">
        <v>288</v>
      </c>
    </row>
    <row r="19">
      <c r="A19" s="27" t="s">
        <v>57</v>
      </c>
      <c r="B19" s="20">
        <v>2274.13</v>
      </c>
      <c r="C19" s="103">
        <v>45824.0</v>
      </c>
      <c r="D19" s="56" t="s">
        <v>58</v>
      </c>
      <c r="E19" s="57">
        <v>0.55</v>
      </c>
      <c r="F19" s="58">
        <f>E18*E19</f>
        <v>13614.15</v>
      </c>
      <c r="G19" s="45"/>
      <c r="M19" s="47"/>
      <c r="N19" s="104">
        <v>205.0</v>
      </c>
      <c r="O19" s="105" t="s">
        <v>289</v>
      </c>
    </row>
    <row r="20">
      <c r="A20" s="27" t="s">
        <v>59</v>
      </c>
      <c r="B20" s="20">
        <v>1852.08</v>
      </c>
      <c r="C20" s="103">
        <v>45830.0</v>
      </c>
      <c r="D20" s="74" t="s">
        <v>79</v>
      </c>
      <c r="E20" s="60">
        <v>0.05</v>
      </c>
      <c r="F20" s="58">
        <f>E18*E20</f>
        <v>1237.65</v>
      </c>
      <c r="G20" s="45"/>
      <c r="M20" s="47"/>
      <c r="N20" s="104">
        <v>95.0</v>
      </c>
      <c r="O20" s="105" t="s">
        <v>35</v>
      </c>
    </row>
    <row r="21">
      <c r="A21" s="27" t="s">
        <v>61</v>
      </c>
      <c r="B21" s="20">
        <v>2598.0</v>
      </c>
      <c r="C21" s="103">
        <v>45824.0</v>
      </c>
      <c r="D21" s="74" t="s">
        <v>87</v>
      </c>
      <c r="E21" s="60">
        <v>0.2</v>
      </c>
      <c r="F21" s="58">
        <f>E18*E21</f>
        <v>4950.6</v>
      </c>
      <c r="G21" s="45"/>
      <c r="M21" s="47"/>
      <c r="N21" s="104">
        <v>535.0</v>
      </c>
      <c r="O21" s="105" t="s">
        <v>290</v>
      </c>
      <c r="Q21" s="86">
        <v>140.0</v>
      </c>
    </row>
    <row r="22">
      <c r="A22" s="27" t="s">
        <v>108</v>
      </c>
      <c r="B22" s="20">
        <v>1560.0</v>
      </c>
      <c r="C22" s="103">
        <v>45824.0</v>
      </c>
      <c r="D22" s="56" t="s">
        <v>63</v>
      </c>
      <c r="E22" s="57">
        <v>0.1</v>
      </c>
      <c r="F22" s="58">
        <f>E18*E22</f>
        <v>2475.3</v>
      </c>
      <c r="G22" s="45"/>
      <c r="M22" s="47"/>
      <c r="Q22" s="86">
        <v>300.0</v>
      </c>
    </row>
    <row r="23">
      <c r="A23" s="25"/>
      <c r="B23" s="26"/>
      <c r="C23" s="50"/>
      <c r="D23" s="56" t="s">
        <v>64</v>
      </c>
      <c r="E23" s="60">
        <v>0.1</v>
      </c>
      <c r="F23" s="58">
        <f>E18*E23</f>
        <v>2475.3</v>
      </c>
      <c r="G23" s="45"/>
      <c r="M23" s="47"/>
      <c r="Q23" s="86">
        <v>138.0</v>
      </c>
    </row>
    <row r="24">
      <c r="A24" s="25"/>
      <c r="B24" s="26"/>
      <c r="C24" s="50"/>
      <c r="D24" s="62" t="s">
        <v>65</v>
      </c>
      <c r="E24" s="47"/>
      <c r="F24" s="63">
        <f>SUM(F19:F23)</f>
        <v>24753</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14958.72</v>
      </c>
      <c r="C27" s="11"/>
      <c r="D27" s="11"/>
      <c r="E27" s="11"/>
      <c r="F27" s="11"/>
      <c r="G27" s="45"/>
      <c r="H27" s="17"/>
      <c r="I27" s="17"/>
      <c r="J27" s="17"/>
      <c r="K27" s="17"/>
      <c r="L27" s="17"/>
      <c r="M27" s="18"/>
    </row>
    <row r="31">
      <c r="A31" s="91" t="s">
        <v>132</v>
      </c>
      <c r="B31" s="92">
        <f>SUM(B17:B26)</f>
        <v>13696.21</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s>
  <sheetData>
    <row r="1">
      <c r="A1" s="7" t="s">
        <v>23</v>
      </c>
      <c r="B1" s="8">
        <f>F19</f>
        <v>9054.1</v>
      </c>
      <c r="C1" s="7" t="s">
        <v>23</v>
      </c>
      <c r="D1" s="8">
        <f>F20</f>
        <v>823.1</v>
      </c>
      <c r="E1" s="7" t="s">
        <v>23</v>
      </c>
      <c r="F1" s="8">
        <f>F21</f>
        <v>3292.4</v>
      </c>
      <c r="G1" s="7" t="s">
        <v>23</v>
      </c>
      <c r="H1" s="8">
        <f>F22</f>
        <v>1646.2</v>
      </c>
      <c r="I1" s="7" t="s">
        <v>23</v>
      </c>
      <c r="J1" s="8">
        <f>F23</f>
        <v>1646.2</v>
      </c>
      <c r="K1" s="9" t="s">
        <v>24</v>
      </c>
      <c r="L1" s="10">
        <f t="shared" ref="L1:L2" si="1">SUM(B1,D1,F1,H1,J1)</f>
        <v>16462</v>
      </c>
      <c r="M1" s="11"/>
    </row>
    <row r="2">
      <c r="A2" s="12" t="s">
        <v>25</v>
      </c>
      <c r="B2" s="13">
        <f>B1-B27</f>
        <v>-3050.34</v>
      </c>
      <c r="C2" s="12" t="s">
        <v>25</v>
      </c>
      <c r="D2" s="13">
        <f>D1-D15</f>
        <v>578.15</v>
      </c>
      <c r="E2" s="12" t="s">
        <v>25</v>
      </c>
      <c r="F2" s="13">
        <f>F1-F15</f>
        <v>2486.87</v>
      </c>
      <c r="G2" s="12" t="s">
        <v>25</v>
      </c>
      <c r="H2" s="13">
        <f>H1-H15</f>
        <v>1646.2</v>
      </c>
      <c r="I2" s="12" t="s">
        <v>25</v>
      </c>
      <c r="J2" s="13">
        <f>J1-J15</f>
        <v>1646.2</v>
      </c>
      <c r="K2" s="14" t="s">
        <v>26</v>
      </c>
      <c r="L2" s="15">
        <f t="shared" si="1"/>
        <v>3307.08</v>
      </c>
      <c r="M2" s="11"/>
    </row>
    <row r="3">
      <c r="A3" s="16" t="s">
        <v>27</v>
      </c>
      <c r="B3" s="17"/>
      <c r="C3" s="71" t="s">
        <v>77</v>
      </c>
      <c r="D3" s="18"/>
      <c r="E3" s="71" t="s">
        <v>80</v>
      </c>
      <c r="F3" s="18"/>
      <c r="G3" s="16" t="s">
        <v>30</v>
      </c>
      <c r="H3" s="18"/>
      <c r="I3" s="16" t="s">
        <v>31</v>
      </c>
      <c r="J3" s="18"/>
      <c r="M3" s="11"/>
    </row>
    <row r="4">
      <c r="A4" s="27" t="s">
        <v>32</v>
      </c>
      <c r="B4" s="20">
        <v>127.0</v>
      </c>
      <c r="C4" s="27" t="s">
        <v>34</v>
      </c>
      <c r="D4" s="20">
        <v>14.0</v>
      </c>
      <c r="E4" s="27" t="s">
        <v>291</v>
      </c>
      <c r="F4" s="20">
        <v>100.0</v>
      </c>
      <c r="G4" s="21"/>
      <c r="H4" s="22"/>
      <c r="I4" s="25"/>
      <c r="J4" s="26"/>
      <c r="K4" s="11"/>
      <c r="L4" s="35"/>
      <c r="M4" s="11"/>
    </row>
    <row r="5">
      <c r="A5" s="27" t="s">
        <v>35</v>
      </c>
      <c r="B5" s="20">
        <v>95.0</v>
      </c>
      <c r="C5" s="27" t="s">
        <v>36</v>
      </c>
      <c r="D5" s="20">
        <v>18.65</v>
      </c>
      <c r="E5" s="27" t="s">
        <v>99</v>
      </c>
      <c r="F5" s="20">
        <v>0.0</v>
      </c>
      <c r="G5" s="25"/>
      <c r="H5" s="26"/>
      <c r="I5" s="25"/>
      <c r="J5" s="26"/>
      <c r="K5" s="11"/>
      <c r="L5" s="11"/>
      <c r="M5" s="11"/>
    </row>
    <row r="6">
      <c r="A6" s="27" t="s">
        <v>37</v>
      </c>
      <c r="B6" s="20">
        <v>139.64</v>
      </c>
      <c r="C6" s="27" t="s">
        <v>100</v>
      </c>
      <c r="D6" s="20">
        <v>55.9</v>
      </c>
      <c r="E6" s="27" t="s">
        <v>292</v>
      </c>
      <c r="F6" s="24">
        <v>634.39</v>
      </c>
      <c r="G6" s="25"/>
      <c r="H6" s="26"/>
      <c r="I6" s="25"/>
      <c r="J6" s="26"/>
      <c r="K6" s="11"/>
      <c r="L6" s="66">
        <v>4321.01</v>
      </c>
      <c r="M6" s="35" t="s">
        <v>293</v>
      </c>
    </row>
    <row r="7">
      <c r="A7" s="27" t="s">
        <v>91</v>
      </c>
      <c r="B7" s="20">
        <v>214.22</v>
      </c>
      <c r="C7" s="27" t="s">
        <v>40</v>
      </c>
      <c r="D7" s="20">
        <v>19.9</v>
      </c>
      <c r="E7" s="34" t="s">
        <v>294</v>
      </c>
      <c r="F7" s="20">
        <v>71.14</v>
      </c>
      <c r="G7" s="25"/>
      <c r="H7" s="26"/>
      <c r="I7" s="25"/>
      <c r="J7" s="26"/>
      <c r="K7" s="11"/>
      <c r="L7" s="66">
        <v>5203.0</v>
      </c>
      <c r="M7" s="35" t="s">
        <v>293</v>
      </c>
    </row>
    <row r="8">
      <c r="A8" s="27" t="s">
        <v>92</v>
      </c>
      <c r="B8" s="20">
        <v>247.78</v>
      </c>
      <c r="C8" s="27" t="s">
        <v>44</v>
      </c>
      <c r="D8" s="20">
        <v>11.6</v>
      </c>
      <c r="E8" s="37"/>
      <c r="F8" s="23"/>
      <c r="G8" s="25"/>
      <c r="H8" s="26"/>
      <c r="I8" s="25"/>
      <c r="J8" s="26"/>
      <c r="K8" s="28"/>
      <c r="L8" s="66">
        <v>3997.0</v>
      </c>
      <c r="M8" s="35" t="s">
        <v>295</v>
      </c>
    </row>
    <row r="9">
      <c r="A9" s="27" t="s">
        <v>43</v>
      </c>
      <c r="B9" s="20">
        <v>352.5</v>
      </c>
      <c r="C9" s="27" t="s">
        <v>101</v>
      </c>
      <c r="D9" s="20">
        <v>35.9</v>
      </c>
      <c r="E9" s="31"/>
      <c r="F9" s="26"/>
      <c r="G9" s="25"/>
      <c r="H9" s="26"/>
      <c r="I9" s="25"/>
      <c r="J9" s="26"/>
      <c r="K9" s="11"/>
      <c r="L9" s="66">
        <v>500.0</v>
      </c>
      <c r="M9" s="35" t="s">
        <v>296</v>
      </c>
    </row>
    <row r="10">
      <c r="A10" s="76" t="s">
        <v>102</v>
      </c>
      <c r="B10" s="23">
        <v>0.0</v>
      </c>
      <c r="C10" s="27" t="s">
        <v>283</v>
      </c>
      <c r="D10" s="20">
        <v>89.0</v>
      </c>
      <c r="E10" s="25"/>
      <c r="F10" s="26"/>
      <c r="G10" s="25"/>
      <c r="H10" s="26"/>
      <c r="I10" s="25"/>
      <c r="J10" s="26"/>
      <c r="K10" s="11"/>
      <c r="L10" s="66"/>
      <c r="M10" s="11"/>
    </row>
    <row r="11">
      <c r="A11" s="27" t="s">
        <v>104</v>
      </c>
      <c r="B11" s="20">
        <v>74.0</v>
      </c>
      <c r="C11" s="21" t="s">
        <v>297</v>
      </c>
      <c r="D11" s="23"/>
      <c r="E11" s="31"/>
      <c r="F11" s="26"/>
      <c r="G11" s="31"/>
      <c r="H11" s="26"/>
      <c r="I11" s="25"/>
      <c r="J11" s="26"/>
      <c r="K11" s="11"/>
      <c r="L11" s="66"/>
      <c r="M11" s="11"/>
    </row>
    <row r="12">
      <c r="A12" s="32"/>
      <c r="B12" s="33"/>
      <c r="C12" s="21"/>
      <c r="D12" s="23"/>
      <c r="E12" s="31"/>
      <c r="F12" s="26"/>
      <c r="G12" s="31"/>
      <c r="H12" s="26"/>
      <c r="I12" s="31"/>
      <c r="J12" s="26"/>
      <c r="K12" s="11"/>
      <c r="L12" s="28"/>
      <c r="M12" s="11"/>
    </row>
    <row r="13">
      <c r="A13" s="31"/>
      <c r="B13" s="23"/>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1250.14</v>
      </c>
      <c r="C15" s="25" t="s">
        <v>50</v>
      </c>
      <c r="D15" s="26">
        <f>SUM(D4:D14)</f>
        <v>244.95</v>
      </c>
      <c r="E15" s="39" t="s">
        <v>50</v>
      </c>
      <c r="F15" s="40">
        <f>SUM(F4:F14)</f>
        <v>805.53</v>
      </c>
      <c r="G15" s="39" t="s">
        <v>50</v>
      </c>
      <c r="H15" s="40">
        <f>SUM(H4:H14)</f>
        <v>0</v>
      </c>
      <c r="I15" s="39" t="s">
        <v>50</v>
      </c>
      <c r="J15" s="40">
        <f>SUM(J4:J14)</f>
        <v>0</v>
      </c>
      <c r="K15" s="11"/>
      <c r="L15" s="11"/>
      <c r="M15" s="11"/>
    </row>
    <row r="16">
      <c r="A16" s="41" t="s">
        <v>51</v>
      </c>
      <c r="B16" s="17"/>
      <c r="C16" s="102" t="s">
        <v>286</v>
      </c>
      <c r="D16" s="42"/>
      <c r="E16" s="42"/>
      <c r="F16" s="42"/>
      <c r="G16" s="11"/>
      <c r="H16" s="42"/>
      <c r="I16" s="42"/>
      <c r="J16" s="42"/>
      <c r="K16" s="42"/>
      <c r="L16" s="42"/>
      <c r="M16" s="42"/>
    </row>
    <row r="17">
      <c r="A17" s="27" t="s">
        <v>52</v>
      </c>
      <c r="B17" s="20">
        <v>2234.0</v>
      </c>
      <c r="C17" s="106">
        <v>45863.0</v>
      </c>
      <c r="D17" s="44" t="s">
        <v>53</v>
      </c>
      <c r="E17" s="17"/>
      <c r="F17" s="18"/>
      <c r="G17" s="45"/>
      <c r="H17" s="46" t="s">
        <v>54</v>
      </c>
      <c r="M17" s="47"/>
      <c r="N17" s="86">
        <v>235.0</v>
      </c>
      <c r="O17" s="86" t="s">
        <v>288</v>
      </c>
    </row>
    <row r="18">
      <c r="A18" s="27" t="s">
        <v>55</v>
      </c>
      <c r="B18" s="20">
        <v>1081.0</v>
      </c>
      <c r="C18" s="106">
        <v>45863.0</v>
      </c>
      <c r="D18" s="51" t="s">
        <v>56</v>
      </c>
      <c r="E18" s="52">
        <v>16462.0</v>
      </c>
      <c r="F18" s="18"/>
      <c r="G18" s="45"/>
      <c r="M18" s="47"/>
      <c r="N18" s="86">
        <v>205.0</v>
      </c>
      <c r="O18" s="86" t="s">
        <v>289</v>
      </c>
    </row>
    <row r="19">
      <c r="A19" s="27" t="s">
        <v>57</v>
      </c>
      <c r="B19" s="20">
        <v>2703.98</v>
      </c>
      <c r="C19" s="106">
        <v>45863.0</v>
      </c>
      <c r="D19" s="56" t="s">
        <v>58</v>
      </c>
      <c r="E19" s="107">
        <v>0.55</v>
      </c>
      <c r="F19" s="58">
        <f>E18*E19</f>
        <v>9054.1</v>
      </c>
      <c r="G19" s="45"/>
      <c r="M19" s="47"/>
      <c r="N19" s="86">
        <v>95.0</v>
      </c>
      <c r="O19" s="86" t="s">
        <v>35</v>
      </c>
    </row>
    <row r="20">
      <c r="A20" s="27" t="s">
        <v>59</v>
      </c>
      <c r="B20" s="20">
        <v>1783.76</v>
      </c>
      <c r="C20" s="106">
        <v>45863.0</v>
      </c>
      <c r="D20" s="74" t="s">
        <v>79</v>
      </c>
      <c r="E20" s="60">
        <v>0.05</v>
      </c>
      <c r="F20" s="58">
        <f>E18*E20</f>
        <v>823.1</v>
      </c>
      <c r="G20" s="45"/>
      <c r="M20" s="47"/>
      <c r="N20" s="86">
        <v>535.0</v>
      </c>
      <c r="O20" s="86" t="s">
        <v>290</v>
      </c>
    </row>
    <row r="21">
      <c r="A21" s="27" t="s">
        <v>61</v>
      </c>
      <c r="B21" s="20">
        <v>2340.0</v>
      </c>
      <c r="C21" s="106">
        <v>45863.0</v>
      </c>
      <c r="D21" s="74" t="s">
        <v>87</v>
      </c>
      <c r="E21" s="60">
        <v>0.2</v>
      </c>
      <c r="F21" s="58">
        <f>E18*E21</f>
        <v>3292.4</v>
      </c>
      <c r="G21" s="45"/>
      <c r="M21" s="47"/>
    </row>
    <row r="22">
      <c r="A22" s="27" t="s">
        <v>108</v>
      </c>
      <c r="B22" s="20">
        <v>711.56</v>
      </c>
      <c r="C22" s="106">
        <v>45863.0</v>
      </c>
      <c r="D22" s="56" t="s">
        <v>63</v>
      </c>
      <c r="E22" s="57">
        <v>0.1</v>
      </c>
      <c r="F22" s="58">
        <f>E18*E22</f>
        <v>1646.2</v>
      </c>
      <c r="G22" s="45"/>
      <c r="M22" s="47"/>
    </row>
    <row r="23">
      <c r="A23" s="25"/>
      <c r="B23" s="26"/>
      <c r="C23" s="50"/>
      <c r="D23" s="56" t="s">
        <v>64</v>
      </c>
      <c r="E23" s="60">
        <v>0.1</v>
      </c>
      <c r="F23" s="58">
        <f>E18*E23</f>
        <v>1646.2</v>
      </c>
      <c r="G23" s="45"/>
      <c r="M23" s="47"/>
    </row>
    <row r="24">
      <c r="A24" s="25"/>
      <c r="B24" s="26"/>
      <c r="C24" s="50"/>
      <c r="D24" s="62" t="s">
        <v>65</v>
      </c>
      <c r="E24" s="47"/>
      <c r="F24" s="63">
        <f>SUM(F19:F23)</f>
        <v>16462</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12104.44</v>
      </c>
      <c r="C27" s="11"/>
      <c r="D27" s="11"/>
      <c r="E27" s="11"/>
      <c r="F27" s="11"/>
      <c r="G27" s="45"/>
      <c r="H27" s="17"/>
      <c r="I27" s="17"/>
      <c r="J27" s="17"/>
      <c r="K27" s="17"/>
      <c r="L27" s="17"/>
      <c r="M27" s="18"/>
    </row>
    <row r="31">
      <c r="A31" s="91" t="s">
        <v>132</v>
      </c>
      <c r="B31" s="92">
        <f>SUM(B17:B26)</f>
        <v>10854.3</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s>
  <sheetData>
    <row r="1">
      <c r="A1" s="7" t="s">
        <v>23</v>
      </c>
      <c r="B1" s="8">
        <f>F19</f>
        <v>5435.65</v>
      </c>
      <c r="C1" s="7" t="s">
        <v>23</v>
      </c>
      <c r="D1" s="8">
        <f>F20</f>
        <v>494.15</v>
      </c>
      <c r="E1" s="7" t="s">
        <v>23</v>
      </c>
      <c r="F1" s="8">
        <f>F21</f>
        <v>1976.6</v>
      </c>
      <c r="G1" s="7" t="s">
        <v>23</v>
      </c>
      <c r="H1" s="8">
        <f>F22</f>
        <v>988.3</v>
      </c>
      <c r="I1" s="7" t="s">
        <v>23</v>
      </c>
      <c r="J1" s="8">
        <f>F23</f>
        <v>988.3</v>
      </c>
      <c r="K1" s="9" t="s">
        <v>24</v>
      </c>
      <c r="L1" s="10">
        <f t="shared" ref="L1:L2" si="1">SUM(B1,D1,F1,H1,J1)</f>
        <v>9883</v>
      </c>
      <c r="M1" s="11"/>
    </row>
    <row r="2">
      <c r="A2" s="12" t="s">
        <v>25</v>
      </c>
      <c r="B2" s="13">
        <f>B1-B27</f>
        <v>-6133.6</v>
      </c>
      <c r="C2" s="12" t="s">
        <v>25</v>
      </c>
      <c r="D2" s="13">
        <f>D1-D15</f>
        <v>183.3</v>
      </c>
      <c r="E2" s="12" t="s">
        <v>25</v>
      </c>
      <c r="F2" s="13">
        <f>F1-F15</f>
        <v>1505.46</v>
      </c>
      <c r="G2" s="12" t="s">
        <v>25</v>
      </c>
      <c r="H2" s="13">
        <f>H1-H15</f>
        <v>988.3</v>
      </c>
      <c r="I2" s="12" t="s">
        <v>25</v>
      </c>
      <c r="J2" s="13">
        <f>J1-J15</f>
        <v>988.3</v>
      </c>
      <c r="K2" s="14" t="s">
        <v>26</v>
      </c>
      <c r="L2" s="15">
        <f t="shared" si="1"/>
        <v>-2468.24</v>
      </c>
      <c r="M2" s="11"/>
    </row>
    <row r="3">
      <c r="A3" s="16" t="s">
        <v>27</v>
      </c>
      <c r="B3" s="17"/>
      <c r="C3" s="71" t="s">
        <v>77</v>
      </c>
      <c r="D3" s="18"/>
      <c r="E3" s="71" t="s">
        <v>80</v>
      </c>
      <c r="F3" s="18"/>
      <c r="G3" s="16" t="s">
        <v>30</v>
      </c>
      <c r="H3" s="18"/>
      <c r="I3" s="16" t="s">
        <v>31</v>
      </c>
      <c r="J3" s="18"/>
      <c r="M3" s="11"/>
    </row>
    <row r="4">
      <c r="A4" s="27" t="s">
        <v>32</v>
      </c>
      <c r="B4" s="20">
        <v>127.0</v>
      </c>
      <c r="C4" s="27" t="s">
        <v>34</v>
      </c>
      <c r="D4" s="20">
        <v>14.0</v>
      </c>
      <c r="E4" s="21" t="s">
        <v>298</v>
      </c>
      <c r="F4" s="23">
        <v>100.0</v>
      </c>
      <c r="G4" s="21"/>
      <c r="H4" s="22"/>
      <c r="I4" s="25"/>
      <c r="J4" s="26"/>
      <c r="K4" s="11"/>
      <c r="L4" s="35"/>
      <c r="M4" s="11"/>
    </row>
    <row r="5">
      <c r="A5" s="27" t="s">
        <v>35</v>
      </c>
      <c r="B5" s="20">
        <v>100.0</v>
      </c>
      <c r="C5" s="27" t="s">
        <v>36</v>
      </c>
      <c r="D5" s="20">
        <v>18.65</v>
      </c>
      <c r="E5" s="27" t="s">
        <v>99</v>
      </c>
      <c r="F5" s="20">
        <v>300.0</v>
      </c>
      <c r="G5" s="25"/>
      <c r="H5" s="26"/>
      <c r="I5" s="25"/>
      <c r="J5" s="26"/>
      <c r="K5" s="11"/>
      <c r="L5" s="11"/>
      <c r="M5" s="11"/>
    </row>
    <row r="6">
      <c r="A6" s="27" t="s">
        <v>37</v>
      </c>
      <c r="B6" s="20">
        <v>139.64</v>
      </c>
      <c r="C6" s="27" t="s">
        <v>100</v>
      </c>
      <c r="D6" s="20">
        <v>55.9</v>
      </c>
      <c r="E6" s="34" t="s">
        <v>299</v>
      </c>
      <c r="F6" s="20">
        <v>71.14</v>
      </c>
      <c r="G6" s="25"/>
      <c r="H6" s="26"/>
      <c r="I6" s="25"/>
      <c r="J6" s="26"/>
      <c r="K6" s="11"/>
      <c r="L6" s="28"/>
      <c r="M6" s="11"/>
    </row>
    <row r="7">
      <c r="A7" s="27" t="s">
        <v>91</v>
      </c>
      <c r="B7" s="20">
        <v>239.0</v>
      </c>
      <c r="C7" s="27" t="s">
        <v>40</v>
      </c>
      <c r="D7" s="20">
        <v>19.9</v>
      </c>
      <c r="E7" s="37" t="s">
        <v>300</v>
      </c>
      <c r="F7" s="23"/>
      <c r="G7" s="25"/>
      <c r="H7" s="26"/>
      <c r="I7" s="25"/>
      <c r="J7" s="26"/>
      <c r="K7" s="11"/>
      <c r="L7" s="66">
        <v>5080.95</v>
      </c>
      <c r="M7" s="11"/>
    </row>
    <row r="8">
      <c r="A8" s="27" t="s">
        <v>92</v>
      </c>
      <c r="B8" s="20">
        <v>239.0</v>
      </c>
      <c r="C8" s="27" t="s">
        <v>44</v>
      </c>
      <c r="D8" s="20">
        <v>11.6</v>
      </c>
      <c r="E8" s="31"/>
      <c r="F8" s="26"/>
      <c r="G8" s="25"/>
      <c r="H8" s="26"/>
      <c r="I8" s="25"/>
      <c r="J8" s="26"/>
      <c r="K8" s="28"/>
      <c r="L8" s="66">
        <v>4262.43</v>
      </c>
      <c r="M8" s="11"/>
    </row>
    <row r="9">
      <c r="A9" s="27" t="s">
        <v>43</v>
      </c>
      <c r="B9" s="20">
        <v>352.5</v>
      </c>
      <c r="C9" s="27" t="s">
        <v>101</v>
      </c>
      <c r="D9" s="20">
        <v>35.9</v>
      </c>
      <c r="E9" s="31"/>
      <c r="F9" s="26"/>
      <c r="G9" s="25"/>
      <c r="H9" s="26"/>
      <c r="I9" s="25"/>
      <c r="J9" s="26"/>
      <c r="K9" s="11"/>
      <c r="L9" s="66"/>
      <c r="M9" s="11"/>
    </row>
    <row r="10">
      <c r="A10" s="76" t="s">
        <v>102</v>
      </c>
      <c r="B10" s="23">
        <v>0.0</v>
      </c>
      <c r="C10" s="27" t="s">
        <v>112</v>
      </c>
      <c r="D10" s="20">
        <v>32.9</v>
      </c>
      <c r="E10" s="25"/>
      <c r="F10" s="26"/>
      <c r="G10" s="25"/>
      <c r="H10" s="26"/>
      <c r="I10" s="25"/>
      <c r="J10" s="26"/>
      <c r="K10" s="11"/>
      <c r="L10" s="66"/>
      <c r="M10" s="11"/>
    </row>
    <row r="11">
      <c r="A11" s="27" t="s">
        <v>104</v>
      </c>
      <c r="B11" s="20">
        <v>74.0</v>
      </c>
      <c r="C11" s="27" t="s">
        <v>301</v>
      </c>
      <c r="D11" s="20">
        <v>33.0</v>
      </c>
      <c r="E11" s="31"/>
      <c r="F11" s="26"/>
      <c r="G11" s="31"/>
      <c r="H11" s="26"/>
      <c r="I11" s="25"/>
      <c r="J11" s="26"/>
      <c r="K11" s="11"/>
      <c r="L11" s="66"/>
      <c r="M11" s="11"/>
    </row>
    <row r="12">
      <c r="A12" s="32"/>
      <c r="B12" s="33"/>
      <c r="C12" s="27" t="s">
        <v>283</v>
      </c>
      <c r="D12" s="20">
        <v>89.0</v>
      </c>
      <c r="E12" s="31"/>
      <c r="F12" s="26"/>
      <c r="G12" s="31"/>
      <c r="H12" s="26"/>
      <c r="I12" s="31"/>
      <c r="J12" s="26"/>
      <c r="K12" s="11"/>
      <c r="L12" s="28"/>
      <c r="M12" s="11"/>
    </row>
    <row r="13">
      <c r="A13" s="31"/>
      <c r="B13" s="23"/>
      <c r="C13" s="21"/>
      <c r="D13" s="23"/>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1271.14</v>
      </c>
      <c r="C15" s="25" t="s">
        <v>50</v>
      </c>
      <c r="D15" s="26">
        <f>SUM(D4:D14)</f>
        <v>310.85</v>
      </c>
      <c r="E15" s="39" t="s">
        <v>50</v>
      </c>
      <c r="F15" s="40">
        <f>SUM(F4:F14)</f>
        <v>471.14</v>
      </c>
      <c r="G15" s="39" t="s">
        <v>50</v>
      </c>
      <c r="H15" s="40">
        <f>SUM(H4:H14)</f>
        <v>0</v>
      </c>
      <c r="I15" s="39" t="s">
        <v>50</v>
      </c>
      <c r="J15" s="40">
        <f>SUM(J4:J14)</f>
        <v>0</v>
      </c>
      <c r="K15" s="11"/>
      <c r="L15" s="11"/>
      <c r="M15" s="11"/>
    </row>
    <row r="16">
      <c r="A16" s="41" t="s">
        <v>51</v>
      </c>
      <c r="B16" s="17"/>
      <c r="C16" s="102" t="s">
        <v>286</v>
      </c>
      <c r="D16" s="42"/>
      <c r="E16" s="42"/>
      <c r="F16" s="42"/>
      <c r="G16" s="11"/>
      <c r="H16" s="42"/>
      <c r="I16" s="42"/>
      <c r="J16" s="42"/>
      <c r="K16" s="42"/>
      <c r="L16" s="42"/>
      <c r="M16" s="42"/>
    </row>
    <row r="17">
      <c r="A17" s="27" t="s">
        <v>52</v>
      </c>
      <c r="B17" s="20">
        <v>2607.0</v>
      </c>
      <c r="C17" s="106">
        <v>45863.0</v>
      </c>
      <c r="D17" s="44" t="s">
        <v>53</v>
      </c>
      <c r="E17" s="17"/>
      <c r="F17" s="18"/>
      <c r="G17" s="45"/>
      <c r="H17" s="46" t="s">
        <v>54</v>
      </c>
      <c r="M17" s="47"/>
      <c r="N17" s="86">
        <v>235.0</v>
      </c>
      <c r="O17" s="86" t="s">
        <v>288</v>
      </c>
    </row>
    <row r="18">
      <c r="A18" s="108" t="s">
        <v>55</v>
      </c>
      <c r="B18" s="109">
        <v>919.97</v>
      </c>
      <c r="C18" s="106">
        <v>45895.0</v>
      </c>
      <c r="D18" s="51" t="s">
        <v>56</v>
      </c>
      <c r="E18" s="52">
        <v>9883.0</v>
      </c>
      <c r="F18" s="18"/>
      <c r="G18" s="45"/>
      <c r="M18" s="47"/>
      <c r="N18" s="86">
        <v>210.25</v>
      </c>
      <c r="O18" s="86" t="s">
        <v>289</v>
      </c>
    </row>
    <row r="19">
      <c r="A19" s="27" t="s">
        <v>57</v>
      </c>
      <c r="B19" s="20">
        <v>2021.82</v>
      </c>
      <c r="C19" s="106">
        <v>45895.0</v>
      </c>
      <c r="D19" s="56" t="s">
        <v>58</v>
      </c>
      <c r="E19" s="107">
        <v>0.55</v>
      </c>
      <c r="F19" s="58">
        <f>E18*E19</f>
        <v>5435.65</v>
      </c>
      <c r="G19" s="45"/>
      <c r="M19" s="47"/>
      <c r="N19" s="86">
        <v>95.0</v>
      </c>
      <c r="O19" s="86" t="s">
        <v>35</v>
      </c>
    </row>
    <row r="20">
      <c r="A20" s="27" t="s">
        <v>59</v>
      </c>
      <c r="B20" s="20">
        <v>1870.0</v>
      </c>
      <c r="C20" s="106">
        <v>45895.0</v>
      </c>
      <c r="D20" s="74" t="s">
        <v>79</v>
      </c>
      <c r="E20" s="60">
        <v>0.05</v>
      </c>
      <c r="F20" s="58">
        <f>E18*E20</f>
        <v>494.15</v>
      </c>
      <c r="G20" s="45"/>
      <c r="M20" s="47"/>
      <c r="N20" s="110">
        <f>sum(N17:N19)</f>
        <v>540.25</v>
      </c>
      <c r="O20" s="86" t="s">
        <v>290</v>
      </c>
    </row>
    <row r="21">
      <c r="A21" s="111" t="s">
        <v>61</v>
      </c>
      <c r="B21" s="112">
        <v>2167.84</v>
      </c>
      <c r="C21" s="106">
        <v>45895.0</v>
      </c>
      <c r="D21" s="74" t="s">
        <v>87</v>
      </c>
      <c r="E21" s="60">
        <v>0.2</v>
      </c>
      <c r="F21" s="58">
        <f>E18*E21</f>
        <v>1976.6</v>
      </c>
      <c r="G21" s="45"/>
      <c r="M21" s="47"/>
    </row>
    <row r="22">
      <c r="A22" s="113" t="s">
        <v>108</v>
      </c>
      <c r="B22" s="114">
        <v>711.48</v>
      </c>
      <c r="C22" s="106">
        <v>45888.0</v>
      </c>
      <c r="D22" s="56" t="s">
        <v>63</v>
      </c>
      <c r="E22" s="57">
        <v>0.1</v>
      </c>
      <c r="F22" s="58">
        <f>E18*E22</f>
        <v>988.3</v>
      </c>
      <c r="G22" s="45"/>
      <c r="M22" s="47"/>
    </row>
    <row r="23">
      <c r="A23" s="25"/>
      <c r="B23" s="23"/>
      <c r="C23" s="50"/>
      <c r="D23" s="56" t="s">
        <v>64</v>
      </c>
      <c r="E23" s="60">
        <v>0.1</v>
      </c>
      <c r="F23" s="58">
        <f>E18*E23</f>
        <v>988.3</v>
      </c>
      <c r="G23" s="45"/>
      <c r="M23" s="47"/>
    </row>
    <row r="24">
      <c r="A24" s="25"/>
      <c r="B24" s="26"/>
      <c r="C24" s="50"/>
      <c r="D24" s="62" t="s">
        <v>65</v>
      </c>
      <c r="E24" s="47"/>
      <c r="F24" s="63">
        <f>SUM(F19:F23)</f>
        <v>9883</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11569.25</v>
      </c>
      <c r="C27" s="11"/>
      <c r="D27" s="11"/>
      <c r="E27" s="11"/>
      <c r="F27" s="11"/>
      <c r="G27" s="45"/>
      <c r="H27" s="17"/>
      <c r="I27" s="17"/>
      <c r="J27" s="17"/>
      <c r="K27" s="17"/>
      <c r="L27" s="17"/>
      <c r="M27" s="18"/>
    </row>
    <row r="31">
      <c r="A31" s="91" t="s">
        <v>132</v>
      </c>
      <c r="B31" s="92">
        <f>SUM(B17:B26)</f>
        <v>10298.11</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s>
  <sheetData>
    <row r="1">
      <c r="A1" s="7" t="s">
        <v>23</v>
      </c>
      <c r="B1" s="8">
        <f>F19</f>
        <v>8250</v>
      </c>
      <c r="C1" s="7" t="s">
        <v>23</v>
      </c>
      <c r="D1" s="8">
        <f>F20</f>
        <v>750</v>
      </c>
      <c r="E1" s="7" t="s">
        <v>23</v>
      </c>
      <c r="F1" s="8">
        <f>F21</f>
        <v>3000</v>
      </c>
      <c r="G1" s="7" t="s">
        <v>23</v>
      </c>
      <c r="H1" s="8">
        <f>F22</f>
        <v>1500</v>
      </c>
      <c r="I1" s="7" t="s">
        <v>23</v>
      </c>
      <c r="J1" s="8">
        <f>F23</f>
        <v>1500</v>
      </c>
      <c r="K1" s="9" t="s">
        <v>24</v>
      </c>
      <c r="L1" s="10">
        <f t="shared" ref="L1:L2" si="1">SUM(B1,D1,F1,H1,J1)</f>
        <v>15000</v>
      </c>
      <c r="M1" s="11"/>
    </row>
    <row r="2">
      <c r="A2" s="12" t="s">
        <v>25</v>
      </c>
      <c r="B2" s="13">
        <f>B1-B27</f>
        <v>-6855.59</v>
      </c>
      <c r="C2" s="12" t="s">
        <v>25</v>
      </c>
      <c r="D2" s="13">
        <f>D1-D15</f>
        <v>439.15</v>
      </c>
      <c r="E2" s="12" t="s">
        <v>25</v>
      </c>
      <c r="F2" s="13">
        <f>F1-F15</f>
        <v>2528.86</v>
      </c>
      <c r="G2" s="12" t="s">
        <v>25</v>
      </c>
      <c r="H2" s="13">
        <f>H1-H15</f>
        <v>1500</v>
      </c>
      <c r="I2" s="12" t="s">
        <v>25</v>
      </c>
      <c r="J2" s="13">
        <f>J1-J15</f>
        <v>1500</v>
      </c>
      <c r="K2" s="14" t="s">
        <v>26</v>
      </c>
      <c r="L2" s="15">
        <f t="shared" si="1"/>
        <v>-887.58</v>
      </c>
      <c r="M2" s="11"/>
    </row>
    <row r="3">
      <c r="A3" s="16" t="s">
        <v>27</v>
      </c>
      <c r="B3" s="17"/>
      <c r="C3" s="71" t="s">
        <v>77</v>
      </c>
      <c r="D3" s="18"/>
      <c r="E3" s="71" t="s">
        <v>80</v>
      </c>
      <c r="F3" s="18"/>
      <c r="G3" s="16" t="s">
        <v>30</v>
      </c>
      <c r="H3" s="18"/>
      <c r="I3" s="16" t="s">
        <v>31</v>
      </c>
      <c r="J3" s="18"/>
      <c r="M3" s="11"/>
    </row>
    <row r="4">
      <c r="A4" s="27" t="s">
        <v>32</v>
      </c>
      <c r="B4" s="20">
        <v>127.0</v>
      </c>
      <c r="C4" s="27" t="s">
        <v>34</v>
      </c>
      <c r="D4" s="20">
        <v>14.0</v>
      </c>
      <c r="E4" s="27" t="s">
        <v>302</v>
      </c>
      <c r="F4" s="20">
        <v>100.0</v>
      </c>
      <c r="G4" s="21"/>
      <c r="H4" s="22"/>
      <c r="I4" s="25"/>
      <c r="J4" s="26"/>
      <c r="K4" s="11"/>
      <c r="L4" s="35"/>
      <c r="M4" s="11"/>
    </row>
    <row r="5">
      <c r="A5" s="27" t="s">
        <v>35</v>
      </c>
      <c r="B5" s="20">
        <v>100.0</v>
      </c>
      <c r="C5" s="27" t="s">
        <v>36</v>
      </c>
      <c r="D5" s="20">
        <v>18.65</v>
      </c>
      <c r="E5" s="27" t="s">
        <v>99</v>
      </c>
      <c r="F5" s="20">
        <v>300.0</v>
      </c>
      <c r="G5" s="25"/>
      <c r="H5" s="26"/>
      <c r="I5" s="25"/>
      <c r="J5" s="26"/>
      <c r="K5" s="11"/>
      <c r="L5" s="11"/>
      <c r="M5" s="11"/>
    </row>
    <row r="6">
      <c r="A6" s="27" t="s">
        <v>37</v>
      </c>
      <c r="B6" s="20">
        <v>139.64</v>
      </c>
      <c r="C6" s="27" t="s">
        <v>100</v>
      </c>
      <c r="D6" s="20">
        <v>55.9</v>
      </c>
      <c r="E6" s="34" t="s">
        <v>303</v>
      </c>
      <c r="F6" s="20">
        <v>71.14</v>
      </c>
      <c r="G6" s="25"/>
      <c r="H6" s="26"/>
      <c r="I6" s="25"/>
      <c r="J6" s="26"/>
      <c r="K6" s="11"/>
      <c r="L6" s="28"/>
      <c r="M6" s="11"/>
      <c r="N6" s="86" t="s">
        <v>304</v>
      </c>
      <c r="O6" s="86">
        <v>5368.0</v>
      </c>
    </row>
    <row r="7">
      <c r="A7" s="27" t="s">
        <v>91</v>
      </c>
      <c r="B7" s="20">
        <v>239.0</v>
      </c>
      <c r="C7" s="27" t="s">
        <v>40</v>
      </c>
      <c r="D7" s="20">
        <v>19.9</v>
      </c>
      <c r="E7" s="37" t="s">
        <v>300</v>
      </c>
      <c r="F7" s="23"/>
      <c r="G7" s="25"/>
      <c r="H7" s="26"/>
      <c r="I7" s="25"/>
      <c r="J7" s="26"/>
      <c r="K7" s="11"/>
      <c r="L7" s="28"/>
      <c r="M7" s="11"/>
      <c r="N7" s="86" t="s">
        <v>305</v>
      </c>
      <c r="O7" s="86">
        <v>4155.0</v>
      </c>
    </row>
    <row r="8">
      <c r="A8" s="27" t="s">
        <v>92</v>
      </c>
      <c r="B8" s="20">
        <v>247.58</v>
      </c>
      <c r="C8" s="27" t="s">
        <v>44</v>
      </c>
      <c r="D8" s="20">
        <v>11.6</v>
      </c>
      <c r="E8" s="31"/>
      <c r="F8" s="26"/>
      <c r="G8" s="25"/>
      <c r="H8" s="26"/>
      <c r="I8" s="25"/>
      <c r="J8" s="26"/>
      <c r="K8" s="28"/>
      <c r="L8" s="28"/>
      <c r="M8" s="11"/>
    </row>
    <row r="9">
      <c r="A9" s="27" t="s">
        <v>43</v>
      </c>
      <c r="B9" s="20">
        <v>352.5</v>
      </c>
      <c r="C9" s="27" t="s">
        <v>101</v>
      </c>
      <c r="D9" s="20">
        <v>35.9</v>
      </c>
      <c r="E9" s="31"/>
      <c r="F9" s="26"/>
      <c r="G9" s="25"/>
      <c r="H9" s="26"/>
      <c r="I9" s="25"/>
      <c r="J9" s="26"/>
      <c r="K9" s="11"/>
      <c r="L9" s="66"/>
      <c r="M9" s="11"/>
      <c r="O9" s="86">
        <v>5368.0</v>
      </c>
    </row>
    <row r="10">
      <c r="A10" s="73" t="s">
        <v>102</v>
      </c>
      <c r="B10" s="20">
        <v>0.0</v>
      </c>
      <c r="C10" s="27" t="s">
        <v>112</v>
      </c>
      <c r="D10" s="20">
        <v>32.9</v>
      </c>
      <c r="E10" s="25"/>
      <c r="F10" s="26"/>
      <c r="G10" s="25"/>
      <c r="H10" s="26"/>
      <c r="I10" s="25"/>
      <c r="J10" s="26"/>
      <c r="K10" s="11"/>
      <c r="L10" s="66"/>
      <c r="M10" s="11"/>
      <c r="O10" s="86">
        <v>4300.0</v>
      </c>
    </row>
    <row r="11">
      <c r="A11" s="21" t="s">
        <v>104</v>
      </c>
      <c r="B11" s="23">
        <v>89.0</v>
      </c>
      <c r="C11" s="27" t="s">
        <v>301</v>
      </c>
      <c r="D11" s="20">
        <v>33.0</v>
      </c>
      <c r="E11" s="31"/>
      <c r="F11" s="26"/>
      <c r="G11" s="31"/>
      <c r="H11" s="26"/>
      <c r="I11" s="25"/>
      <c r="J11" s="26"/>
      <c r="K11" s="11"/>
      <c r="L11" s="66"/>
      <c r="M11" s="11"/>
    </row>
    <row r="12">
      <c r="A12" s="32"/>
      <c r="B12" s="33"/>
      <c r="C12" s="27" t="s">
        <v>283</v>
      </c>
      <c r="D12" s="20">
        <v>89.0</v>
      </c>
      <c r="E12" s="31"/>
      <c r="F12" s="26"/>
      <c r="G12" s="31"/>
      <c r="H12" s="26"/>
      <c r="I12" s="31"/>
      <c r="J12" s="26"/>
      <c r="K12" s="11"/>
      <c r="L12" s="28"/>
      <c r="M12" s="11"/>
    </row>
    <row r="13">
      <c r="A13" s="31"/>
      <c r="B13" s="23"/>
      <c r="C13" s="115"/>
      <c r="D13" s="24"/>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1294.72</v>
      </c>
      <c r="C15" s="25" t="s">
        <v>50</v>
      </c>
      <c r="D15" s="26">
        <f>SUM(D4:D14)</f>
        <v>310.85</v>
      </c>
      <c r="E15" s="39" t="s">
        <v>50</v>
      </c>
      <c r="F15" s="40">
        <f>SUM(F4:F14)</f>
        <v>471.14</v>
      </c>
      <c r="G15" s="39" t="s">
        <v>50</v>
      </c>
      <c r="H15" s="40">
        <f>SUM(H4:H14)</f>
        <v>0</v>
      </c>
      <c r="I15" s="39" t="s">
        <v>50</v>
      </c>
      <c r="J15" s="40">
        <f>SUM(J4:J14)</f>
        <v>0</v>
      </c>
      <c r="K15" s="11"/>
      <c r="L15" s="11"/>
      <c r="M15" s="11"/>
    </row>
    <row r="16">
      <c r="A16" s="41" t="s">
        <v>51</v>
      </c>
      <c r="B16" s="17"/>
      <c r="C16" s="102" t="s">
        <v>286</v>
      </c>
      <c r="D16" s="42"/>
      <c r="E16" s="42"/>
      <c r="F16" s="42"/>
      <c r="G16" s="11"/>
      <c r="H16" s="42"/>
      <c r="I16" s="42"/>
      <c r="J16" s="42"/>
      <c r="K16" s="42"/>
      <c r="L16" s="42"/>
      <c r="M16" s="42"/>
    </row>
    <row r="17">
      <c r="A17" s="27" t="s">
        <v>52</v>
      </c>
      <c r="B17" s="20">
        <v>4488.66</v>
      </c>
      <c r="C17" s="106">
        <v>45930.0</v>
      </c>
      <c r="D17" s="44" t="s">
        <v>53</v>
      </c>
      <c r="E17" s="17"/>
      <c r="F17" s="18"/>
      <c r="G17" s="45"/>
      <c r="H17" s="46" t="s">
        <v>54</v>
      </c>
      <c r="M17" s="47"/>
      <c r="N17" s="86">
        <v>235.0</v>
      </c>
      <c r="O17" s="86" t="s">
        <v>288</v>
      </c>
    </row>
    <row r="18">
      <c r="A18" s="116" t="s">
        <v>55</v>
      </c>
      <c r="B18" s="117">
        <v>1154.64</v>
      </c>
      <c r="C18" s="106">
        <v>45930.0</v>
      </c>
      <c r="D18" s="51" t="s">
        <v>56</v>
      </c>
      <c r="E18" s="52">
        <v>15000.0</v>
      </c>
      <c r="F18" s="18"/>
      <c r="G18" s="45"/>
      <c r="M18" s="47"/>
      <c r="N18" s="81">
        <f>sum(D4:D11,D8)</f>
        <v>233.45</v>
      </c>
      <c r="O18" s="86" t="s">
        <v>289</v>
      </c>
    </row>
    <row r="19">
      <c r="A19" s="27" t="s">
        <v>57</v>
      </c>
      <c r="B19" s="20">
        <v>2371.0</v>
      </c>
      <c r="C19" s="106">
        <v>45930.0</v>
      </c>
      <c r="D19" s="56" t="s">
        <v>58</v>
      </c>
      <c r="E19" s="107">
        <v>0.55</v>
      </c>
      <c r="F19" s="58">
        <f>E18*E19</f>
        <v>8250</v>
      </c>
      <c r="G19" s="45"/>
      <c r="M19" s="47"/>
      <c r="N19" s="81">
        <f>B5</f>
        <v>100</v>
      </c>
      <c r="O19" s="86" t="s">
        <v>35</v>
      </c>
    </row>
    <row r="20">
      <c r="A20" s="27" t="s">
        <v>59</v>
      </c>
      <c r="B20" s="20">
        <v>993.82</v>
      </c>
      <c r="C20" s="106">
        <v>45930.0</v>
      </c>
      <c r="D20" s="74" t="s">
        <v>79</v>
      </c>
      <c r="E20" s="60">
        <v>0.05</v>
      </c>
      <c r="F20" s="58">
        <f>E18*E20</f>
        <v>750</v>
      </c>
      <c r="G20" s="45"/>
      <c r="M20" s="47"/>
      <c r="N20" s="81">
        <f>SUM(N17:N19)</f>
        <v>568.45</v>
      </c>
      <c r="O20" s="86" t="s">
        <v>290</v>
      </c>
    </row>
    <row r="21">
      <c r="A21" s="27" t="s">
        <v>61</v>
      </c>
      <c r="B21" s="20">
        <v>4340.16</v>
      </c>
      <c r="C21" s="106">
        <v>45930.0</v>
      </c>
      <c r="D21" s="74" t="s">
        <v>87</v>
      </c>
      <c r="E21" s="60">
        <v>0.2</v>
      </c>
      <c r="F21" s="58">
        <f>E18*E21</f>
        <v>3000</v>
      </c>
      <c r="G21" s="45"/>
      <c r="M21" s="47"/>
    </row>
    <row r="22">
      <c r="A22" s="27" t="s">
        <v>108</v>
      </c>
      <c r="B22" s="20">
        <v>462.59</v>
      </c>
      <c r="C22" s="106">
        <v>45930.0</v>
      </c>
      <c r="D22" s="56" t="s">
        <v>63</v>
      </c>
      <c r="E22" s="57">
        <v>0.1</v>
      </c>
      <c r="F22" s="58">
        <f>E18*E22</f>
        <v>1500</v>
      </c>
      <c r="G22" s="45"/>
      <c r="M22" s="47"/>
    </row>
    <row r="23">
      <c r="A23" s="25"/>
      <c r="B23" s="26"/>
      <c r="C23" s="50"/>
      <c r="D23" s="56" t="s">
        <v>64</v>
      </c>
      <c r="E23" s="60">
        <v>0.1</v>
      </c>
      <c r="F23" s="58">
        <f>E18*E23</f>
        <v>1500</v>
      </c>
      <c r="G23" s="45"/>
      <c r="M23" s="47"/>
    </row>
    <row r="24">
      <c r="A24" s="25"/>
      <c r="B24" s="26"/>
      <c r="C24" s="50"/>
      <c r="D24" s="62" t="s">
        <v>65</v>
      </c>
      <c r="E24" s="47"/>
      <c r="F24" s="63">
        <f>SUM(F19:F23)</f>
        <v>15000</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15105.59</v>
      </c>
      <c r="C27" s="11"/>
      <c r="D27" s="11"/>
      <c r="E27" s="11"/>
      <c r="F27" s="11"/>
      <c r="G27" s="45"/>
      <c r="H27" s="17"/>
      <c r="I27" s="17"/>
      <c r="J27" s="17"/>
      <c r="K27" s="17"/>
      <c r="L27" s="17"/>
      <c r="M27" s="18"/>
    </row>
    <row r="31">
      <c r="A31" s="91" t="s">
        <v>132</v>
      </c>
      <c r="B31" s="92">
        <f>SUM(B17:B26)</f>
        <v>13810.87</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9.29"/>
    <col customWidth="1" min="10" max="10" width="10.0"/>
  </cols>
  <sheetData>
    <row r="1">
      <c r="A1" s="7" t="s">
        <v>23</v>
      </c>
      <c r="B1" s="8">
        <f>F19</f>
        <v>5225</v>
      </c>
      <c r="C1" s="7" t="s">
        <v>23</v>
      </c>
      <c r="D1" s="8">
        <f>F20</f>
        <v>475</v>
      </c>
      <c r="E1" s="7" t="s">
        <v>23</v>
      </c>
      <c r="F1" s="8">
        <f>F21</f>
        <v>1900</v>
      </c>
      <c r="G1" s="7" t="s">
        <v>23</v>
      </c>
      <c r="H1" s="8">
        <f>F22</f>
        <v>950</v>
      </c>
      <c r="I1" s="7" t="s">
        <v>23</v>
      </c>
      <c r="J1" s="8">
        <f>F23</f>
        <v>950</v>
      </c>
      <c r="K1" s="9" t="s">
        <v>24</v>
      </c>
      <c r="L1" s="10">
        <f t="shared" ref="L1:L2" si="1">SUM(B1,D1,F1,H1,J1)</f>
        <v>9500</v>
      </c>
      <c r="M1" s="11"/>
    </row>
    <row r="2">
      <c r="A2" s="12" t="s">
        <v>25</v>
      </c>
      <c r="B2" s="13">
        <f>B1-B27</f>
        <v>-6449.01</v>
      </c>
      <c r="C2" s="12" t="s">
        <v>25</v>
      </c>
      <c r="D2" s="13">
        <f>D1-D15</f>
        <v>200.05</v>
      </c>
      <c r="E2" s="12" t="s">
        <v>25</v>
      </c>
      <c r="F2" s="13">
        <f>F1-F15</f>
        <v>896.65</v>
      </c>
      <c r="G2" s="12" t="s">
        <v>25</v>
      </c>
      <c r="H2" s="13">
        <f>H1-H15</f>
        <v>950</v>
      </c>
      <c r="I2" s="12" t="s">
        <v>25</v>
      </c>
      <c r="J2" s="13">
        <f>J1-J15</f>
        <v>950</v>
      </c>
      <c r="K2" s="14" t="s">
        <v>26</v>
      </c>
      <c r="L2" s="15">
        <f t="shared" si="1"/>
        <v>-3452.31</v>
      </c>
      <c r="M2" s="11"/>
    </row>
    <row r="3">
      <c r="A3" s="16" t="s">
        <v>27</v>
      </c>
      <c r="B3" s="17"/>
      <c r="C3" s="71" t="s">
        <v>77</v>
      </c>
      <c r="D3" s="18"/>
      <c r="E3" s="71" t="s">
        <v>80</v>
      </c>
      <c r="F3" s="18"/>
      <c r="G3" s="16" t="s">
        <v>30</v>
      </c>
      <c r="H3" s="18"/>
      <c r="I3" s="16" t="s">
        <v>31</v>
      </c>
      <c r="J3" s="18"/>
      <c r="M3" s="11"/>
    </row>
    <row r="4">
      <c r="A4" s="27" t="s">
        <v>32</v>
      </c>
      <c r="B4" s="20">
        <v>127.0</v>
      </c>
      <c r="C4" s="27" t="s">
        <v>34</v>
      </c>
      <c r="D4" s="20">
        <v>18.0</v>
      </c>
      <c r="E4" s="27" t="s">
        <v>306</v>
      </c>
      <c r="F4" s="20">
        <v>100.0</v>
      </c>
      <c r="G4" s="21"/>
      <c r="H4" s="22"/>
      <c r="I4" s="25"/>
      <c r="J4" s="26"/>
      <c r="K4" s="11"/>
      <c r="L4" s="35"/>
      <c r="M4" s="11"/>
      <c r="N4" s="86" t="s">
        <v>307</v>
      </c>
      <c r="O4" s="86">
        <v>5509.57</v>
      </c>
    </row>
    <row r="5">
      <c r="A5" s="27" t="s">
        <v>308</v>
      </c>
      <c r="B5" s="20">
        <v>100.0</v>
      </c>
      <c r="C5" s="27" t="s">
        <v>36</v>
      </c>
      <c r="D5" s="20">
        <v>18.65</v>
      </c>
      <c r="E5" s="27" t="s">
        <v>99</v>
      </c>
      <c r="F5" s="20">
        <v>300.0</v>
      </c>
      <c r="G5" s="25"/>
      <c r="H5" s="26"/>
      <c r="I5" s="25"/>
      <c r="J5" s="26"/>
      <c r="K5" s="11"/>
      <c r="L5" s="11"/>
      <c r="M5" s="11"/>
      <c r="N5" s="86" t="s">
        <v>309</v>
      </c>
      <c r="O5" s="86">
        <v>3604.0</v>
      </c>
    </row>
    <row r="6">
      <c r="A6" s="27" t="s">
        <v>37</v>
      </c>
      <c r="B6" s="20">
        <v>179.0</v>
      </c>
      <c r="C6" s="27" t="s">
        <v>100</v>
      </c>
      <c r="D6" s="20">
        <v>59.9</v>
      </c>
      <c r="E6" s="34" t="s">
        <v>310</v>
      </c>
      <c r="F6" s="20">
        <v>47.14</v>
      </c>
      <c r="G6" s="25"/>
      <c r="H6" s="26"/>
      <c r="I6" s="25"/>
      <c r="J6" s="26"/>
      <c r="K6" s="11"/>
      <c r="L6" s="28"/>
      <c r="M6" s="11"/>
      <c r="N6" s="86" t="s">
        <v>311</v>
      </c>
      <c r="O6" s="110">
        <f>O4-O5</f>
        <v>1905.57</v>
      </c>
    </row>
    <row r="7">
      <c r="A7" s="27" t="s">
        <v>91</v>
      </c>
      <c r="B7" s="20">
        <v>227.06</v>
      </c>
      <c r="C7" s="27" t="s">
        <v>40</v>
      </c>
      <c r="D7" s="20">
        <v>19.9</v>
      </c>
      <c r="E7" s="34" t="s">
        <v>127</v>
      </c>
      <c r="F7" s="20">
        <v>513.88</v>
      </c>
      <c r="G7" s="25"/>
      <c r="H7" s="26"/>
      <c r="I7" s="25"/>
      <c r="J7" s="26"/>
      <c r="K7" s="11"/>
      <c r="L7" s="28"/>
      <c r="M7" s="11"/>
    </row>
    <row r="8">
      <c r="A8" s="27" t="s">
        <v>92</v>
      </c>
      <c r="B8" s="20">
        <v>247.44</v>
      </c>
      <c r="C8" s="27" t="s">
        <v>44</v>
      </c>
      <c r="D8" s="20">
        <v>11.6</v>
      </c>
      <c r="E8" s="34" t="s">
        <v>312</v>
      </c>
      <c r="F8" s="20">
        <v>42.33</v>
      </c>
      <c r="G8" s="25"/>
      <c r="H8" s="26"/>
      <c r="I8" s="25"/>
      <c r="J8" s="26"/>
      <c r="K8" s="28"/>
      <c r="L8" s="28"/>
      <c r="M8" s="11"/>
    </row>
    <row r="9">
      <c r="A9" s="27" t="s">
        <v>43</v>
      </c>
      <c r="B9" s="20">
        <v>352.5</v>
      </c>
      <c r="C9" s="27" t="s">
        <v>101</v>
      </c>
      <c r="D9" s="20">
        <v>0.0</v>
      </c>
      <c r="E9" s="31"/>
      <c r="F9" s="26"/>
      <c r="G9" s="25"/>
      <c r="H9" s="26"/>
      <c r="I9" s="25"/>
      <c r="J9" s="26"/>
      <c r="K9" s="11"/>
      <c r="L9" s="66"/>
      <c r="M9" s="11"/>
      <c r="P9" s="86">
        <v>3599.0</v>
      </c>
    </row>
    <row r="10">
      <c r="A10" s="73" t="s">
        <v>102</v>
      </c>
      <c r="B10" s="20">
        <v>185.0</v>
      </c>
      <c r="C10" s="27" t="s">
        <v>129</v>
      </c>
      <c r="D10" s="20">
        <v>24.9</v>
      </c>
      <c r="E10" s="25"/>
      <c r="F10" s="26"/>
      <c r="G10" s="25"/>
      <c r="H10" s="26"/>
      <c r="I10" s="25"/>
      <c r="J10" s="26"/>
      <c r="K10" s="11"/>
      <c r="L10" s="66"/>
      <c r="M10" s="11"/>
      <c r="O10" s="86" t="s">
        <v>313</v>
      </c>
      <c r="P10" s="110">
        <f>P9-O6</f>
        <v>1693.43</v>
      </c>
    </row>
    <row r="11">
      <c r="A11" s="21" t="s">
        <v>104</v>
      </c>
      <c r="B11" s="23">
        <v>74.0</v>
      </c>
      <c r="C11" s="27" t="s">
        <v>301</v>
      </c>
      <c r="D11" s="20">
        <v>33.0</v>
      </c>
      <c r="E11" s="31"/>
      <c r="F11" s="26"/>
      <c r="G11" s="31"/>
      <c r="H11" s="26"/>
      <c r="I11" s="25"/>
      <c r="J11" s="26"/>
      <c r="K11" s="11"/>
      <c r="L11" s="66"/>
      <c r="M11" s="11"/>
      <c r="O11" s="86" t="s">
        <v>314</v>
      </c>
      <c r="P11" s="110">
        <f>P9-P10</f>
        <v>1905.57</v>
      </c>
    </row>
    <row r="12">
      <c r="A12" s="76"/>
      <c r="B12" s="33"/>
      <c r="C12" s="27" t="s">
        <v>315</v>
      </c>
      <c r="D12" s="20">
        <v>89.0</v>
      </c>
      <c r="E12" s="31"/>
      <c r="F12" s="26"/>
      <c r="G12" s="31"/>
      <c r="H12" s="26"/>
      <c r="I12" s="31"/>
      <c r="J12" s="26"/>
      <c r="K12" s="11"/>
      <c r="L12" s="28"/>
      <c r="M12" s="11"/>
    </row>
    <row r="13">
      <c r="A13" s="31"/>
      <c r="B13" s="23"/>
      <c r="C13" s="31"/>
      <c r="D13" s="26"/>
      <c r="E13" s="31"/>
      <c r="F13" s="26"/>
      <c r="G13" s="31"/>
      <c r="H13" s="26"/>
      <c r="I13" s="31"/>
      <c r="J13" s="26"/>
      <c r="K13" s="11"/>
      <c r="L13" s="28"/>
      <c r="M13" s="11"/>
      <c r="O13" s="86" t="s">
        <v>316</v>
      </c>
      <c r="P13" s="86">
        <v>2500.0</v>
      </c>
    </row>
    <row r="14">
      <c r="A14" s="31"/>
      <c r="B14" s="26"/>
      <c r="C14" s="31"/>
      <c r="D14" s="26"/>
      <c r="E14" s="31"/>
      <c r="F14" s="26"/>
      <c r="G14" s="31"/>
      <c r="H14" s="26"/>
      <c r="I14" s="31"/>
      <c r="J14" s="26"/>
      <c r="K14" s="11"/>
      <c r="L14" s="11"/>
      <c r="M14" s="11"/>
      <c r="O14" s="86" t="s">
        <v>317</v>
      </c>
      <c r="P14" s="86">
        <v>421.67</v>
      </c>
    </row>
    <row r="15">
      <c r="A15" s="25" t="s">
        <v>49</v>
      </c>
      <c r="B15" s="38">
        <f>SUM(B4:B14)</f>
        <v>1492</v>
      </c>
      <c r="C15" s="25" t="s">
        <v>50</v>
      </c>
      <c r="D15" s="26">
        <f>SUM(D4:D14)</f>
        <v>274.95</v>
      </c>
      <c r="E15" s="39" t="s">
        <v>50</v>
      </c>
      <c r="F15" s="40">
        <f>SUM(F4:F14)</f>
        <v>1003.35</v>
      </c>
      <c r="G15" s="39" t="s">
        <v>50</v>
      </c>
      <c r="H15" s="40">
        <f>SUM(H4:H14)</f>
        <v>0</v>
      </c>
      <c r="I15" s="39" t="s">
        <v>50</v>
      </c>
      <c r="J15" s="40">
        <f>SUM(J4:J14)</f>
        <v>0</v>
      </c>
      <c r="K15" s="11"/>
      <c r="L15" s="11"/>
      <c r="M15" s="11"/>
    </row>
    <row r="16">
      <c r="A16" s="41" t="s">
        <v>51</v>
      </c>
      <c r="B16" s="17"/>
      <c r="C16" s="102" t="s">
        <v>286</v>
      </c>
      <c r="D16" s="42"/>
      <c r="E16" s="42"/>
      <c r="F16" s="42"/>
      <c r="G16" s="11"/>
      <c r="H16" s="42"/>
      <c r="I16" s="42"/>
      <c r="J16" s="42"/>
      <c r="K16" s="42"/>
      <c r="L16" s="42"/>
      <c r="M16" s="42"/>
    </row>
    <row r="17">
      <c r="A17" s="27" t="s">
        <v>52</v>
      </c>
      <c r="B17" s="20">
        <v>2354.23</v>
      </c>
      <c r="C17" s="106">
        <v>45953.0</v>
      </c>
      <c r="D17" s="44" t="s">
        <v>53</v>
      </c>
      <c r="E17" s="17"/>
      <c r="F17" s="18"/>
      <c r="G17" s="45"/>
      <c r="H17" s="46" t="s">
        <v>54</v>
      </c>
      <c r="M17" s="47"/>
      <c r="N17" s="86">
        <v>235.0</v>
      </c>
      <c r="O17" s="86" t="s">
        <v>288</v>
      </c>
    </row>
    <row r="18">
      <c r="A18" s="116" t="s">
        <v>55</v>
      </c>
      <c r="B18" s="117">
        <v>1353.3</v>
      </c>
      <c r="C18" s="106">
        <v>45953.0</v>
      </c>
      <c r="D18" s="51" t="s">
        <v>56</v>
      </c>
      <c r="E18" s="52">
        <v>9500.0</v>
      </c>
      <c r="F18" s="18"/>
      <c r="G18" s="45"/>
      <c r="M18" s="47"/>
      <c r="N18" s="81">
        <f>sum(D4:D11,D8)</f>
        <v>197.55</v>
      </c>
      <c r="O18" s="86" t="s">
        <v>289</v>
      </c>
    </row>
    <row r="19">
      <c r="A19" s="27" t="s">
        <v>57</v>
      </c>
      <c r="B19" s="20">
        <v>1549.0</v>
      </c>
      <c r="C19" s="106">
        <v>45953.0</v>
      </c>
      <c r="D19" s="56" t="s">
        <v>58</v>
      </c>
      <c r="E19" s="107">
        <v>0.55</v>
      </c>
      <c r="F19" s="58">
        <f>E18*E19</f>
        <v>5225</v>
      </c>
      <c r="G19" s="45"/>
      <c r="M19" s="47"/>
      <c r="N19" s="81">
        <f>B5</f>
        <v>100</v>
      </c>
      <c r="O19" s="86" t="s">
        <v>35</v>
      </c>
    </row>
    <row r="20">
      <c r="A20" s="27" t="s">
        <v>59</v>
      </c>
      <c r="B20" s="20">
        <v>1757.72</v>
      </c>
      <c r="C20" s="106">
        <v>45953.0</v>
      </c>
      <c r="D20" s="74" t="s">
        <v>79</v>
      </c>
      <c r="E20" s="60">
        <v>0.05</v>
      </c>
      <c r="F20" s="58">
        <f>E18*E20</f>
        <v>475</v>
      </c>
      <c r="G20" s="45"/>
      <c r="M20" s="47"/>
      <c r="N20" s="81">
        <f>SUM(N17:N19)</f>
        <v>532.55</v>
      </c>
      <c r="O20" s="86" t="s">
        <v>290</v>
      </c>
    </row>
    <row r="21">
      <c r="A21" s="27" t="s">
        <v>61</v>
      </c>
      <c r="B21" s="20">
        <v>2921.67</v>
      </c>
      <c r="C21" s="106">
        <v>45953.0</v>
      </c>
      <c r="D21" s="74" t="s">
        <v>87</v>
      </c>
      <c r="E21" s="60">
        <v>0.2</v>
      </c>
      <c r="F21" s="58">
        <f>E18*E21</f>
        <v>1900</v>
      </c>
      <c r="G21" s="45"/>
      <c r="M21" s="47"/>
    </row>
    <row r="22">
      <c r="A22" s="27" t="s">
        <v>108</v>
      </c>
      <c r="B22" s="20">
        <v>246.09</v>
      </c>
      <c r="C22" s="106">
        <v>45953.0</v>
      </c>
      <c r="D22" s="56" t="s">
        <v>63</v>
      </c>
      <c r="E22" s="57">
        <v>0.1</v>
      </c>
      <c r="F22" s="58">
        <f>E18*E22</f>
        <v>950</v>
      </c>
      <c r="G22" s="45"/>
      <c r="M22" s="47"/>
    </row>
    <row r="23">
      <c r="A23" s="25"/>
      <c r="B23" s="26"/>
      <c r="C23" s="50"/>
      <c r="D23" s="56" t="s">
        <v>64</v>
      </c>
      <c r="E23" s="60">
        <v>0.1</v>
      </c>
      <c r="F23" s="58">
        <f>E18*E23</f>
        <v>950</v>
      </c>
      <c r="G23" s="45"/>
      <c r="M23" s="47"/>
    </row>
    <row r="24">
      <c r="A24" s="25"/>
      <c r="B24" s="26"/>
      <c r="C24" s="50"/>
      <c r="D24" s="62" t="s">
        <v>65</v>
      </c>
      <c r="E24" s="47"/>
      <c r="F24" s="63">
        <f>SUM(F19:F23)</f>
        <v>9500</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11674.01</v>
      </c>
      <c r="C27" s="11"/>
      <c r="D27" s="11"/>
      <c r="E27" s="11"/>
      <c r="F27" s="11"/>
      <c r="G27" s="45"/>
      <c r="H27" s="17"/>
      <c r="I27" s="17"/>
      <c r="J27" s="17"/>
      <c r="K27" s="17"/>
      <c r="L27" s="17"/>
      <c r="M27" s="18"/>
    </row>
    <row r="31">
      <c r="A31" s="91" t="s">
        <v>132</v>
      </c>
      <c r="B31" s="92">
        <f>SUM(B17:B26)</f>
        <v>10182.01</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11.29"/>
    <col customWidth="1" min="10" max="10" width="12.57"/>
  </cols>
  <sheetData>
    <row r="1">
      <c r="A1" s="7" t="s">
        <v>23</v>
      </c>
      <c r="B1" s="8">
        <f>F19</f>
        <v>17600</v>
      </c>
      <c r="C1" s="7" t="s">
        <v>23</v>
      </c>
      <c r="D1" s="8">
        <f>F20</f>
        <v>1600</v>
      </c>
      <c r="E1" s="7" t="s">
        <v>23</v>
      </c>
      <c r="F1" s="8">
        <f>F21</f>
        <v>6400</v>
      </c>
      <c r="G1" s="7" t="s">
        <v>23</v>
      </c>
      <c r="H1" s="8">
        <f>F22</f>
        <v>3200</v>
      </c>
      <c r="I1" s="7" t="s">
        <v>23</v>
      </c>
      <c r="J1" s="8">
        <f>F23</f>
        <v>3200</v>
      </c>
      <c r="K1" s="9" t="s">
        <v>24</v>
      </c>
      <c r="L1" s="10">
        <f t="shared" ref="L1:L2" si="1">SUM(B1,D1,F1,H1,J1)</f>
        <v>32000</v>
      </c>
      <c r="M1" s="11"/>
    </row>
    <row r="2">
      <c r="A2" s="12" t="s">
        <v>25</v>
      </c>
      <c r="B2" s="13">
        <f>B1-B27</f>
        <v>-140.61</v>
      </c>
      <c r="C2" s="12" t="s">
        <v>25</v>
      </c>
      <c r="D2" s="13">
        <f>D1-D15</f>
        <v>1329.05</v>
      </c>
      <c r="E2" s="12" t="s">
        <v>25</v>
      </c>
      <c r="F2" s="13">
        <f>F1-F15</f>
        <v>4399.86</v>
      </c>
      <c r="G2" s="12" t="s">
        <v>25</v>
      </c>
      <c r="H2" s="13">
        <f>H1-H15</f>
        <v>3200</v>
      </c>
      <c r="I2" s="12" t="s">
        <v>25</v>
      </c>
      <c r="J2" s="13">
        <f>J1-J15</f>
        <v>3200</v>
      </c>
      <c r="K2" s="14" t="s">
        <v>26</v>
      </c>
      <c r="L2" s="15">
        <f t="shared" si="1"/>
        <v>11988.3</v>
      </c>
      <c r="M2" s="11"/>
    </row>
    <row r="3">
      <c r="A3" s="16" t="s">
        <v>27</v>
      </c>
      <c r="B3" s="17"/>
      <c r="C3" s="71" t="s">
        <v>77</v>
      </c>
      <c r="D3" s="18"/>
      <c r="E3" s="71" t="s">
        <v>80</v>
      </c>
      <c r="F3" s="18"/>
      <c r="G3" s="16" t="s">
        <v>30</v>
      </c>
      <c r="H3" s="18"/>
      <c r="I3" s="16" t="s">
        <v>31</v>
      </c>
      <c r="J3" s="18"/>
      <c r="M3" s="11"/>
    </row>
    <row r="4">
      <c r="A4" s="27" t="s">
        <v>32</v>
      </c>
      <c r="B4" s="20">
        <v>127.0</v>
      </c>
      <c r="C4" s="27" t="s">
        <v>34</v>
      </c>
      <c r="D4" s="20">
        <v>18.0</v>
      </c>
      <c r="E4" s="27" t="s">
        <v>318</v>
      </c>
      <c r="F4" s="20">
        <v>200.0</v>
      </c>
      <c r="G4" s="21"/>
      <c r="H4" s="22"/>
      <c r="I4" s="25"/>
      <c r="J4" s="26"/>
      <c r="K4" s="11"/>
      <c r="L4" s="35"/>
      <c r="M4" s="11"/>
    </row>
    <row r="5">
      <c r="A5" s="27" t="s">
        <v>35</v>
      </c>
      <c r="B5" s="20">
        <v>100.0</v>
      </c>
      <c r="C5" s="27" t="s">
        <v>36</v>
      </c>
      <c r="D5" s="20">
        <v>18.65</v>
      </c>
      <c r="E5" s="27" t="s">
        <v>99</v>
      </c>
      <c r="F5" s="20">
        <v>150.0</v>
      </c>
      <c r="G5" s="25"/>
      <c r="H5" s="26"/>
      <c r="I5" s="25"/>
      <c r="J5" s="26"/>
      <c r="K5" s="11"/>
      <c r="L5" s="11"/>
      <c r="M5" s="11"/>
    </row>
    <row r="6">
      <c r="A6" s="27" t="s">
        <v>37</v>
      </c>
      <c r="B6" s="20">
        <v>139.64</v>
      </c>
      <c r="C6" s="27" t="s">
        <v>100</v>
      </c>
      <c r="D6" s="20">
        <v>55.9</v>
      </c>
      <c r="E6" s="34" t="s">
        <v>319</v>
      </c>
      <c r="F6" s="20">
        <v>47.14</v>
      </c>
      <c r="G6" s="25"/>
      <c r="H6" s="26"/>
      <c r="I6" s="25"/>
      <c r="J6" s="26"/>
      <c r="K6" s="11"/>
      <c r="L6" s="28"/>
      <c r="M6" s="11"/>
      <c r="S6" s="86">
        <v>484.9</v>
      </c>
    </row>
    <row r="7">
      <c r="A7" s="27" t="s">
        <v>91</v>
      </c>
      <c r="B7" s="20">
        <v>239.0</v>
      </c>
      <c r="C7" s="27" t="s">
        <v>40</v>
      </c>
      <c r="D7" s="20">
        <v>19.9</v>
      </c>
      <c r="E7" s="27" t="s">
        <v>320</v>
      </c>
      <c r="F7" s="20">
        <v>513.0</v>
      </c>
      <c r="G7" s="25"/>
      <c r="H7" s="26"/>
      <c r="I7" s="25"/>
      <c r="J7" s="26"/>
      <c r="K7" s="11"/>
      <c r="P7" s="66">
        <v>3876.76</v>
      </c>
      <c r="Q7" s="35" t="s">
        <v>321</v>
      </c>
      <c r="S7" s="86">
        <v>484.9</v>
      </c>
    </row>
    <row r="8">
      <c r="A8" s="27" t="s">
        <v>92</v>
      </c>
      <c r="B8" s="20">
        <v>239.0</v>
      </c>
      <c r="C8" s="27" t="s">
        <v>44</v>
      </c>
      <c r="D8" s="20">
        <v>11.6</v>
      </c>
      <c r="E8" s="34" t="s">
        <v>322</v>
      </c>
      <c r="F8" s="20">
        <v>1090.0</v>
      </c>
      <c r="G8" s="25"/>
      <c r="H8" s="26"/>
      <c r="I8" s="25"/>
      <c r="J8" s="26"/>
      <c r="K8" s="28"/>
      <c r="P8" s="66">
        <v>2309.68</v>
      </c>
      <c r="Q8" s="35" t="s">
        <v>279</v>
      </c>
    </row>
    <row r="9">
      <c r="A9" s="27" t="s">
        <v>43</v>
      </c>
      <c r="B9" s="20">
        <v>352.5</v>
      </c>
      <c r="C9" s="27" t="s">
        <v>101</v>
      </c>
      <c r="D9" s="20">
        <v>0.0</v>
      </c>
      <c r="E9" s="31"/>
      <c r="F9" s="26"/>
      <c r="G9" s="25"/>
      <c r="H9" s="26"/>
      <c r="I9" s="25"/>
      <c r="J9" s="26"/>
      <c r="K9" s="11"/>
      <c r="P9" s="66"/>
      <c r="Q9" s="11"/>
      <c r="T9" s="86">
        <v>5368.0</v>
      </c>
    </row>
    <row r="10">
      <c r="A10" s="73" t="s">
        <v>102</v>
      </c>
      <c r="B10" s="20">
        <v>200.0</v>
      </c>
      <c r="C10" s="27" t="s">
        <v>129</v>
      </c>
      <c r="D10" s="20">
        <v>24.9</v>
      </c>
      <c r="E10" s="25"/>
      <c r="F10" s="26"/>
      <c r="G10" s="25"/>
      <c r="H10" s="26"/>
      <c r="I10" s="25"/>
      <c r="J10" s="26"/>
      <c r="K10" s="11"/>
      <c r="P10" s="66">
        <v>12320.88</v>
      </c>
      <c r="T10" s="86">
        <v>4300.0</v>
      </c>
    </row>
    <row r="11">
      <c r="A11" s="27" t="s">
        <v>104</v>
      </c>
      <c r="B11" s="20">
        <v>74.0</v>
      </c>
      <c r="C11" s="27" t="s">
        <v>301</v>
      </c>
      <c r="D11" s="20">
        <v>33.0</v>
      </c>
      <c r="E11" s="31"/>
      <c r="F11" s="26"/>
      <c r="G11" s="31"/>
      <c r="H11" s="26"/>
      <c r="I11" s="25"/>
      <c r="J11" s="26"/>
      <c r="K11" s="11"/>
      <c r="P11" s="66">
        <f>P10*2</f>
        <v>24641.76</v>
      </c>
      <c r="Q11" s="11"/>
    </row>
    <row r="12">
      <c r="A12" s="76"/>
      <c r="B12" s="33"/>
      <c r="C12" s="27" t="s">
        <v>283</v>
      </c>
      <c r="D12" s="20">
        <v>89.0</v>
      </c>
      <c r="E12" s="31"/>
      <c r="F12" s="26"/>
      <c r="G12" s="31"/>
      <c r="H12" s="26"/>
      <c r="I12" s="31"/>
      <c r="J12" s="26"/>
      <c r="K12" s="11"/>
      <c r="P12" s="28"/>
      <c r="Q12" s="11"/>
    </row>
    <row r="13">
      <c r="A13" s="31"/>
      <c r="B13" s="23"/>
      <c r="C13" s="31"/>
      <c r="D13" s="26"/>
      <c r="E13" s="31"/>
      <c r="F13" s="26"/>
      <c r="G13" s="31"/>
      <c r="H13" s="26"/>
      <c r="I13" s="31"/>
      <c r="J13" s="26"/>
      <c r="K13" s="11"/>
      <c r="P13" s="28"/>
      <c r="Q13" s="11"/>
      <c r="T13" s="6">
        <f>T9+T10+P7+P8</f>
        <v>15854.44</v>
      </c>
      <c r="U13" s="86">
        <v>16336.76</v>
      </c>
    </row>
    <row r="14">
      <c r="A14" s="31"/>
      <c r="B14" s="26"/>
      <c r="C14" s="31"/>
      <c r="D14" s="26"/>
      <c r="E14" s="31"/>
      <c r="F14" s="26"/>
      <c r="G14" s="31"/>
      <c r="H14" s="26"/>
      <c r="I14" s="31"/>
      <c r="J14" s="26"/>
      <c r="K14" s="11"/>
      <c r="P14" s="28">
        <f>E18+P11</f>
        <v>56641.76</v>
      </c>
      <c r="Q14" s="11"/>
      <c r="T14" s="86">
        <v>24641.76</v>
      </c>
    </row>
    <row r="15">
      <c r="A15" s="25" t="s">
        <v>49</v>
      </c>
      <c r="B15" s="38">
        <f>SUM(B4:B14)</f>
        <v>1471.14</v>
      </c>
      <c r="C15" s="25" t="s">
        <v>50</v>
      </c>
      <c r="D15" s="26">
        <f>SUM(D4:D14)</f>
        <v>270.95</v>
      </c>
      <c r="E15" s="39" t="s">
        <v>50</v>
      </c>
      <c r="F15" s="40">
        <f>SUM(F4:F14)</f>
        <v>2000.14</v>
      </c>
      <c r="G15" s="39" t="s">
        <v>50</v>
      </c>
      <c r="H15" s="40">
        <f>SUM(H4:H14)</f>
        <v>0</v>
      </c>
      <c r="I15" s="39" t="s">
        <v>50</v>
      </c>
      <c r="J15" s="40">
        <f>SUM(J4:J14)</f>
        <v>0</v>
      </c>
      <c r="K15" s="11"/>
      <c r="L15" s="11"/>
      <c r="M15" s="11"/>
      <c r="T15" s="86">
        <v>5000.0</v>
      </c>
    </row>
    <row r="16">
      <c r="A16" s="41" t="s">
        <v>51</v>
      </c>
      <c r="B16" s="17"/>
      <c r="C16" s="102" t="s">
        <v>286</v>
      </c>
      <c r="D16" s="42"/>
      <c r="E16" s="42"/>
      <c r="F16" s="42"/>
      <c r="G16" s="11"/>
      <c r="H16" s="42"/>
      <c r="I16" s="42"/>
      <c r="J16" s="42"/>
      <c r="K16" s="42"/>
      <c r="L16" s="42"/>
      <c r="M16" s="42"/>
      <c r="S16" s="86" t="s">
        <v>288</v>
      </c>
      <c r="T16" s="86">
        <v>3305.0</v>
      </c>
    </row>
    <row r="17">
      <c r="A17" s="27" t="s">
        <v>52</v>
      </c>
      <c r="B17" s="20">
        <v>3302.0</v>
      </c>
      <c r="C17" s="106">
        <v>45991.0</v>
      </c>
      <c r="D17" s="44" t="s">
        <v>53</v>
      </c>
      <c r="E17" s="17"/>
      <c r="F17" s="18"/>
      <c r="G17" s="45"/>
      <c r="H17" s="46" t="s">
        <v>54</v>
      </c>
      <c r="M17" s="47"/>
      <c r="P17" s="86">
        <v>235.0</v>
      </c>
      <c r="S17" s="86" t="s">
        <v>289</v>
      </c>
      <c r="T17" s="110">
        <f>T14-T15-T16</f>
        <v>16336.76</v>
      </c>
    </row>
    <row r="18">
      <c r="A18" s="27" t="s">
        <v>55</v>
      </c>
      <c r="B18" s="20">
        <v>2790.0</v>
      </c>
      <c r="C18" s="106">
        <v>45983.0</v>
      </c>
      <c r="D18" s="51" t="s">
        <v>56</v>
      </c>
      <c r="E18" s="52">
        <v>32000.0</v>
      </c>
      <c r="F18" s="18"/>
      <c r="G18" s="45"/>
      <c r="M18" s="47"/>
      <c r="P18" s="86">
        <v>170.0</v>
      </c>
      <c r="S18" s="86" t="s">
        <v>35</v>
      </c>
    </row>
    <row r="19">
      <c r="A19" s="27" t="s">
        <v>57</v>
      </c>
      <c r="B19" s="20">
        <v>4742.27</v>
      </c>
      <c r="C19" s="106">
        <v>45991.0</v>
      </c>
      <c r="D19" s="56" t="s">
        <v>58</v>
      </c>
      <c r="E19" s="107">
        <v>0.55</v>
      </c>
      <c r="F19" s="58">
        <f>E18*E19</f>
        <v>17600</v>
      </c>
      <c r="G19" s="45"/>
      <c r="M19" s="47"/>
      <c r="N19" s="86" t="s">
        <v>323</v>
      </c>
      <c r="P19" s="81">
        <f>B5</f>
        <v>100</v>
      </c>
      <c r="S19" s="86" t="s">
        <v>290</v>
      </c>
    </row>
    <row r="20">
      <c r="A20" s="27" t="s">
        <v>59</v>
      </c>
      <c r="B20" s="20">
        <v>1867.26</v>
      </c>
      <c r="C20" s="106">
        <v>45991.0</v>
      </c>
      <c r="D20" s="74" t="s">
        <v>79</v>
      </c>
      <c r="E20" s="60">
        <v>0.05</v>
      </c>
      <c r="F20" s="58">
        <f>E18*E20</f>
        <v>1600</v>
      </c>
      <c r="G20" s="45"/>
      <c r="M20" s="47"/>
      <c r="P20" s="81">
        <f>SUM(P17:P19)</f>
        <v>505</v>
      </c>
    </row>
    <row r="21">
      <c r="A21" s="27" t="s">
        <v>61</v>
      </c>
      <c r="B21" s="20">
        <v>3321.85</v>
      </c>
      <c r="C21" s="106">
        <v>45991.0</v>
      </c>
      <c r="D21" s="74" t="s">
        <v>87</v>
      </c>
      <c r="E21" s="60">
        <v>0.2</v>
      </c>
      <c r="F21" s="58">
        <f>E18*E21</f>
        <v>6400</v>
      </c>
      <c r="G21" s="45"/>
      <c r="M21" s="47"/>
    </row>
    <row r="22">
      <c r="A22" s="27" t="s">
        <v>108</v>
      </c>
      <c r="B22" s="20">
        <v>246.09</v>
      </c>
      <c r="C22" s="106">
        <v>45991.0</v>
      </c>
      <c r="D22" s="56" t="s">
        <v>63</v>
      </c>
      <c r="E22" s="57">
        <v>0.1</v>
      </c>
      <c r="F22" s="58">
        <f>E18*E22</f>
        <v>3200</v>
      </c>
      <c r="G22" s="45"/>
      <c r="M22" s="47"/>
      <c r="N22" s="118" t="s">
        <v>324</v>
      </c>
    </row>
    <row r="23">
      <c r="A23" s="25"/>
      <c r="B23" s="26"/>
      <c r="C23" s="50"/>
      <c r="D23" s="56" t="s">
        <v>64</v>
      </c>
      <c r="E23" s="60">
        <v>0.1</v>
      </c>
      <c r="F23" s="58">
        <f>E18*E23</f>
        <v>3200</v>
      </c>
      <c r="G23" s="45"/>
      <c r="M23" s="47"/>
      <c r="N23" s="119"/>
    </row>
    <row r="24">
      <c r="A24" s="25"/>
      <c r="B24" s="26"/>
      <c r="C24" s="50"/>
      <c r="D24" s="62" t="s">
        <v>65</v>
      </c>
      <c r="E24" s="47"/>
      <c r="F24" s="63">
        <f>SUM(F19:F23)</f>
        <v>32000</v>
      </c>
      <c r="G24" s="45"/>
      <c r="M24" s="47"/>
      <c r="N24" s="119"/>
    </row>
    <row r="25">
      <c r="A25" s="31"/>
      <c r="B25" s="26"/>
      <c r="C25" s="35"/>
      <c r="D25" s="11"/>
      <c r="E25" s="11"/>
      <c r="F25" s="11"/>
      <c r="G25" s="45"/>
      <c r="M25" s="47"/>
      <c r="N25" s="118" t="s">
        <v>325</v>
      </c>
    </row>
    <row r="26">
      <c r="A26" s="64"/>
      <c r="B26" s="65"/>
      <c r="C26" s="11"/>
      <c r="D26" s="11"/>
      <c r="E26" s="11"/>
      <c r="F26" s="11"/>
      <c r="G26" s="45"/>
      <c r="M26" s="47"/>
      <c r="N26" s="119"/>
    </row>
    <row r="27">
      <c r="A27" s="64" t="s">
        <v>50</v>
      </c>
      <c r="B27" s="40">
        <f>SUM(B15,B17:B26)</f>
        <v>17740.61</v>
      </c>
      <c r="C27" s="11"/>
      <c r="D27" s="11"/>
      <c r="E27" s="11"/>
      <c r="F27" s="11"/>
      <c r="G27" s="45"/>
      <c r="H27" s="17"/>
      <c r="I27" s="17"/>
      <c r="J27" s="17"/>
      <c r="K27" s="17"/>
      <c r="L27" s="17"/>
      <c r="M27" s="18"/>
      <c r="N27" s="118">
        <v>12.15</v>
      </c>
    </row>
    <row r="28">
      <c r="N28" s="119"/>
    </row>
    <row r="29">
      <c r="N29" s="118">
        <v>16.0</v>
      </c>
    </row>
    <row r="30">
      <c r="N30" s="119"/>
    </row>
    <row r="31">
      <c r="A31" s="91" t="s">
        <v>132</v>
      </c>
      <c r="B31" s="92">
        <f>SUM(B17:B26)</f>
        <v>16269.47</v>
      </c>
      <c r="N31" s="118">
        <v>46.7</v>
      </c>
    </row>
    <row r="32">
      <c r="N32" s="118"/>
    </row>
    <row r="33">
      <c r="N33" s="119"/>
    </row>
    <row r="34">
      <c r="N34" s="118" t="s">
        <v>326</v>
      </c>
    </row>
    <row r="35">
      <c r="N35" s="119"/>
    </row>
    <row r="36">
      <c r="N36" s="118">
        <v>10.0</v>
      </c>
    </row>
    <row r="37">
      <c r="N37" s="119"/>
    </row>
    <row r="38">
      <c r="N38" s="118">
        <v>75.8</v>
      </c>
      <c r="O38" s="86" t="s">
        <v>327</v>
      </c>
    </row>
    <row r="39">
      <c r="N39" s="119"/>
    </row>
    <row r="40">
      <c r="N40" s="118">
        <v>9.97</v>
      </c>
    </row>
    <row r="41">
      <c r="N41" s="119"/>
    </row>
    <row r="42">
      <c r="N42" s="118">
        <v>251.0</v>
      </c>
      <c r="O42" s="86" t="s">
        <v>328</v>
      </c>
    </row>
    <row r="43">
      <c r="N43" s="119"/>
    </row>
    <row r="44">
      <c r="N44" s="118">
        <v>40.0</v>
      </c>
    </row>
    <row r="45">
      <c r="N45" s="119"/>
    </row>
    <row r="46">
      <c r="N46" s="118">
        <v>21.86</v>
      </c>
    </row>
    <row r="47">
      <c r="N47" s="119"/>
    </row>
    <row r="48">
      <c r="N48" s="118"/>
    </row>
    <row r="49">
      <c r="N49" s="118" t="s">
        <v>329</v>
      </c>
    </row>
    <row r="50">
      <c r="N50" s="119"/>
    </row>
    <row r="51">
      <c r="N51" s="118">
        <v>1.81</v>
      </c>
    </row>
    <row r="52">
      <c r="N52" s="119"/>
    </row>
    <row r="53">
      <c r="N53" s="118">
        <v>32.95</v>
      </c>
    </row>
    <row r="54">
      <c r="N54" s="119"/>
    </row>
    <row r="55">
      <c r="N55" s="118"/>
    </row>
    <row r="56">
      <c r="N56" s="119"/>
    </row>
    <row r="57">
      <c r="N57" s="118" t="s">
        <v>330</v>
      </c>
    </row>
    <row r="58">
      <c r="N58" s="119"/>
    </row>
    <row r="59">
      <c r="N59" s="118">
        <v>17.05</v>
      </c>
    </row>
    <row r="60">
      <c r="N60" s="119"/>
    </row>
    <row r="61">
      <c r="N61" s="118">
        <v>12.0</v>
      </c>
      <c r="O61" s="86" t="s">
        <v>331</v>
      </c>
    </row>
    <row r="62">
      <c r="N62" s="119"/>
    </row>
    <row r="63">
      <c r="N63" s="118">
        <v>15.0</v>
      </c>
      <c r="O63" s="86" t="s">
        <v>332</v>
      </c>
    </row>
    <row r="64">
      <c r="N64" s="119"/>
    </row>
    <row r="65">
      <c r="N65" s="118"/>
    </row>
    <row r="66">
      <c r="N66" s="118" t="s">
        <v>333</v>
      </c>
    </row>
    <row r="67">
      <c r="N67" s="119"/>
    </row>
    <row r="68">
      <c r="N68" s="118" t="s">
        <v>334</v>
      </c>
    </row>
    <row r="69">
      <c r="N69" s="118">
        <v>252.28</v>
      </c>
      <c r="O69" s="86" t="s">
        <v>335</v>
      </c>
    </row>
    <row r="70">
      <c r="N70" s="119"/>
    </row>
    <row r="71">
      <c r="N71" s="118">
        <v>51.96</v>
      </c>
      <c r="O71" s="86" t="s">
        <v>336</v>
      </c>
    </row>
    <row r="74">
      <c r="N74" s="118" t="s">
        <v>337</v>
      </c>
    </row>
    <row r="75">
      <c r="N75" s="118">
        <v>46.0</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s>
  <sheetData>
    <row r="1">
      <c r="A1" s="7" t="s">
        <v>23</v>
      </c>
      <c r="B1" s="8">
        <f>F19</f>
        <v>5483.445</v>
      </c>
      <c r="C1" s="7" t="s">
        <v>23</v>
      </c>
      <c r="D1" s="8">
        <f>F20</f>
        <v>498.495</v>
      </c>
      <c r="E1" s="7" t="s">
        <v>23</v>
      </c>
      <c r="F1" s="8">
        <f>F21</f>
        <v>1993.98</v>
      </c>
      <c r="G1" s="7" t="s">
        <v>23</v>
      </c>
      <c r="H1" s="8">
        <f>F22</f>
        <v>996.99</v>
      </c>
      <c r="I1" s="7" t="s">
        <v>23</v>
      </c>
      <c r="J1" s="8">
        <f>F23</f>
        <v>996.99</v>
      </c>
      <c r="K1" s="9" t="s">
        <v>24</v>
      </c>
      <c r="L1" s="10">
        <f t="shared" ref="L1:L2" si="1">SUM(B1,D1,F1,H1,J1)</f>
        <v>9969.9</v>
      </c>
      <c r="M1" s="11"/>
    </row>
    <row r="2">
      <c r="A2" s="12" t="s">
        <v>25</v>
      </c>
      <c r="B2" s="13">
        <f>B1-B27</f>
        <v>-2386.715</v>
      </c>
      <c r="C2" s="12" t="s">
        <v>25</v>
      </c>
      <c r="D2" s="13">
        <f>D1-D15</f>
        <v>260.545</v>
      </c>
      <c r="E2" s="12" t="s">
        <v>25</v>
      </c>
      <c r="F2" s="13">
        <f>F1-F15</f>
        <v>1283.84</v>
      </c>
      <c r="G2" s="12" t="s">
        <v>25</v>
      </c>
      <c r="H2" s="13">
        <f>H1-H15</f>
        <v>996.99</v>
      </c>
      <c r="I2" s="12" t="s">
        <v>25</v>
      </c>
      <c r="J2" s="13">
        <f>J1-J15</f>
        <v>996.99</v>
      </c>
      <c r="K2" s="14" t="s">
        <v>26</v>
      </c>
      <c r="L2" s="15">
        <f t="shared" si="1"/>
        <v>1151.65</v>
      </c>
      <c r="M2" s="11"/>
    </row>
    <row r="3">
      <c r="A3" s="16" t="s">
        <v>27</v>
      </c>
      <c r="B3" s="17"/>
      <c r="C3" s="71" t="s">
        <v>77</v>
      </c>
      <c r="D3" s="18"/>
      <c r="E3" s="71" t="s">
        <v>80</v>
      </c>
      <c r="F3" s="18"/>
      <c r="G3" s="16" t="s">
        <v>30</v>
      </c>
      <c r="H3" s="18"/>
      <c r="I3" s="16" t="s">
        <v>31</v>
      </c>
      <c r="J3" s="18"/>
      <c r="M3" s="11"/>
    </row>
    <row r="4">
      <c r="A4" s="27" t="s">
        <v>32</v>
      </c>
      <c r="B4" s="20">
        <v>127.0</v>
      </c>
      <c r="C4" s="27" t="s">
        <v>34</v>
      </c>
      <c r="D4" s="20">
        <v>18.0</v>
      </c>
      <c r="E4" s="27" t="s">
        <v>99</v>
      </c>
      <c r="F4" s="20">
        <v>150.0</v>
      </c>
      <c r="G4" s="21"/>
      <c r="H4" s="22"/>
      <c r="I4" s="25"/>
      <c r="J4" s="26"/>
      <c r="K4" s="11"/>
      <c r="L4" s="35"/>
      <c r="M4" s="11"/>
    </row>
    <row r="5">
      <c r="A5" s="111" t="s">
        <v>35</v>
      </c>
      <c r="B5" s="112">
        <v>100.0</v>
      </c>
      <c r="C5" s="27" t="s">
        <v>36</v>
      </c>
      <c r="D5" s="20">
        <v>18.65</v>
      </c>
      <c r="E5" s="37" t="s">
        <v>338</v>
      </c>
      <c r="F5" s="23">
        <v>47.14</v>
      </c>
      <c r="G5" s="25"/>
      <c r="H5" s="26"/>
      <c r="I5" s="25"/>
      <c r="J5" s="26"/>
      <c r="K5" s="11"/>
      <c r="L5" s="11"/>
      <c r="M5" s="11"/>
    </row>
    <row r="6">
      <c r="A6" s="27" t="s">
        <v>37</v>
      </c>
      <c r="B6" s="20">
        <v>149.9</v>
      </c>
      <c r="C6" s="27" t="s">
        <v>100</v>
      </c>
      <c r="D6" s="20">
        <v>55.9</v>
      </c>
      <c r="E6" s="27" t="s">
        <v>320</v>
      </c>
      <c r="F6" s="20">
        <v>513.0</v>
      </c>
      <c r="G6" s="25"/>
      <c r="H6" s="26"/>
      <c r="I6" s="25"/>
      <c r="J6" s="26"/>
      <c r="K6" s="11"/>
      <c r="M6" s="11"/>
      <c r="O6" s="28"/>
    </row>
    <row r="7">
      <c r="A7" s="27" t="s">
        <v>91</v>
      </c>
      <c r="B7" s="20">
        <v>227.06</v>
      </c>
      <c r="C7" s="27" t="s">
        <v>40</v>
      </c>
      <c r="D7" s="20">
        <v>19.9</v>
      </c>
      <c r="E7" s="25"/>
      <c r="F7" s="26"/>
      <c r="G7" s="25"/>
      <c r="H7" s="26"/>
      <c r="I7" s="25"/>
      <c r="J7" s="26"/>
      <c r="K7" s="11"/>
      <c r="M7" s="35"/>
      <c r="O7" s="66">
        <v>4333.63</v>
      </c>
    </row>
    <row r="8">
      <c r="A8" s="27" t="s">
        <v>92</v>
      </c>
      <c r="B8" s="20">
        <v>262.67</v>
      </c>
      <c r="C8" s="27" t="s">
        <v>339</v>
      </c>
      <c r="D8" s="20">
        <v>11.6</v>
      </c>
      <c r="E8" s="31"/>
      <c r="F8" s="26"/>
      <c r="G8" s="25"/>
      <c r="H8" s="26"/>
      <c r="I8" s="25"/>
      <c r="J8" s="26"/>
      <c r="K8" s="28"/>
      <c r="M8" s="35"/>
      <c r="O8" s="66">
        <v>5075.27</v>
      </c>
    </row>
    <row r="9">
      <c r="A9" s="27" t="s">
        <v>43</v>
      </c>
      <c r="B9" s="20">
        <v>352.5</v>
      </c>
      <c r="C9" s="21"/>
      <c r="D9" s="23"/>
      <c r="E9" s="31"/>
      <c r="F9" s="26"/>
      <c r="G9" s="25"/>
      <c r="H9" s="26"/>
      <c r="I9" s="25"/>
      <c r="J9" s="26"/>
      <c r="K9" s="11"/>
      <c r="M9" s="11"/>
      <c r="O9" s="66"/>
    </row>
    <row r="10">
      <c r="A10" s="73" t="s">
        <v>102</v>
      </c>
      <c r="B10" s="20">
        <v>200.0</v>
      </c>
      <c r="C10" s="120" t="s">
        <v>283</v>
      </c>
      <c r="D10" s="121">
        <v>89.0</v>
      </c>
      <c r="E10" s="25"/>
      <c r="F10" s="26"/>
      <c r="G10" s="25"/>
      <c r="H10" s="26"/>
      <c r="I10" s="25"/>
      <c r="J10" s="26"/>
      <c r="K10" s="11"/>
    </row>
    <row r="11">
      <c r="A11" s="27" t="s">
        <v>104</v>
      </c>
      <c r="B11" s="20">
        <v>74.0</v>
      </c>
      <c r="C11" s="27" t="s">
        <v>129</v>
      </c>
      <c r="D11" s="20">
        <v>24.9</v>
      </c>
      <c r="E11" s="31"/>
      <c r="F11" s="26"/>
      <c r="G11" s="31"/>
      <c r="H11" s="26"/>
      <c r="I11" s="25"/>
      <c r="J11" s="26"/>
      <c r="K11" s="11"/>
      <c r="M11" s="11"/>
      <c r="O11" s="66"/>
    </row>
    <row r="12">
      <c r="A12" s="32"/>
      <c r="B12" s="33"/>
      <c r="C12" s="21"/>
      <c r="D12" s="23"/>
      <c r="E12" s="31"/>
      <c r="F12" s="26"/>
      <c r="G12" s="31"/>
      <c r="H12" s="26"/>
      <c r="I12" s="31"/>
      <c r="J12" s="26"/>
      <c r="K12" s="11"/>
      <c r="M12" s="11"/>
      <c r="O12" s="28">
        <f>SUM(O7:O11)</f>
        <v>9408.9</v>
      </c>
    </row>
    <row r="13">
      <c r="A13" s="31"/>
      <c r="B13" s="23"/>
      <c r="C13" s="31"/>
      <c r="D13" s="26"/>
      <c r="E13" s="31"/>
      <c r="F13" s="26"/>
      <c r="G13" s="31"/>
      <c r="H13" s="26"/>
      <c r="I13" s="31"/>
      <c r="J13" s="26"/>
      <c r="K13" s="11"/>
      <c r="L13" s="28"/>
      <c r="M13" s="11"/>
      <c r="O13" s="86">
        <v>561.0</v>
      </c>
    </row>
    <row r="14">
      <c r="A14" s="31"/>
      <c r="B14" s="26"/>
      <c r="C14" s="31"/>
      <c r="D14" s="26"/>
      <c r="E14" s="31"/>
      <c r="F14" s="26"/>
      <c r="G14" s="31"/>
      <c r="H14" s="26"/>
      <c r="I14" s="31"/>
      <c r="J14" s="26"/>
      <c r="K14" s="11"/>
      <c r="L14" s="11"/>
      <c r="M14" s="11"/>
      <c r="O14" s="81">
        <v>297.0</v>
      </c>
    </row>
    <row r="15">
      <c r="A15" s="25" t="s">
        <v>49</v>
      </c>
      <c r="B15" s="38">
        <f>SUM(B4:B14)</f>
        <v>1493.13</v>
      </c>
      <c r="C15" s="25" t="s">
        <v>50</v>
      </c>
      <c r="D15" s="26">
        <f>SUM(D4:D14)</f>
        <v>237.95</v>
      </c>
      <c r="E15" s="39" t="s">
        <v>50</v>
      </c>
      <c r="F15" s="40">
        <f>SUM(F4:F14)</f>
        <v>710.14</v>
      </c>
      <c r="G15" s="39" t="s">
        <v>50</v>
      </c>
      <c r="H15" s="40">
        <f>SUM(H4:H14)</f>
        <v>0</v>
      </c>
      <c r="I15" s="39" t="s">
        <v>50</v>
      </c>
      <c r="J15" s="40">
        <f>SUM(J4:J14)</f>
        <v>0</v>
      </c>
      <c r="K15" s="11"/>
      <c r="L15" s="11"/>
      <c r="M15" s="11"/>
    </row>
    <row r="16">
      <c r="A16" s="41" t="s">
        <v>51</v>
      </c>
      <c r="B16" s="17"/>
      <c r="C16" s="102" t="s">
        <v>286</v>
      </c>
      <c r="D16" s="42"/>
      <c r="E16" s="42"/>
      <c r="F16" s="42"/>
      <c r="G16" s="11"/>
      <c r="H16" s="42"/>
      <c r="I16" s="42"/>
      <c r="J16" s="42"/>
      <c r="K16" s="42"/>
      <c r="L16" s="42"/>
      <c r="M16" s="42"/>
    </row>
    <row r="17">
      <c r="A17" s="27" t="s">
        <v>52</v>
      </c>
      <c r="B17" s="20">
        <v>1856.0</v>
      </c>
      <c r="C17" s="106">
        <v>45991.0</v>
      </c>
      <c r="D17" s="44" t="s">
        <v>53</v>
      </c>
      <c r="E17" s="17"/>
      <c r="F17" s="18"/>
      <c r="G17" s="45"/>
      <c r="H17" s="46" t="s">
        <v>54</v>
      </c>
      <c r="M17" s="47"/>
      <c r="N17" s="86">
        <v>235.0</v>
      </c>
      <c r="O17" s="86" t="s">
        <v>288</v>
      </c>
    </row>
    <row r="18">
      <c r="A18" s="116" t="s">
        <v>55</v>
      </c>
      <c r="B18" s="117">
        <v>0.0</v>
      </c>
      <c r="C18" s="106">
        <v>46020.0</v>
      </c>
      <c r="D18" s="51" t="s">
        <v>56</v>
      </c>
      <c r="E18" s="52">
        <v>9969.9</v>
      </c>
      <c r="F18" s="18"/>
      <c r="G18" s="45"/>
      <c r="M18" s="47"/>
      <c r="N18" s="86">
        <v>205.0</v>
      </c>
      <c r="O18" s="86" t="s">
        <v>289</v>
      </c>
    </row>
    <row r="19">
      <c r="A19" s="27" t="s">
        <v>57</v>
      </c>
      <c r="B19" s="20">
        <v>1904.91</v>
      </c>
      <c r="C19" s="106">
        <v>46020.0</v>
      </c>
      <c r="D19" s="56" t="s">
        <v>58</v>
      </c>
      <c r="E19" s="107">
        <v>0.55</v>
      </c>
      <c r="F19" s="58">
        <f>E18*E19</f>
        <v>5483.445</v>
      </c>
      <c r="G19" s="45"/>
      <c r="M19" s="47"/>
      <c r="N19" s="86">
        <v>100.0</v>
      </c>
      <c r="O19" s="86" t="s">
        <v>35</v>
      </c>
    </row>
    <row r="20">
      <c r="A20" s="27" t="s">
        <v>59</v>
      </c>
      <c r="B20" s="20">
        <v>56.5</v>
      </c>
      <c r="C20" s="106">
        <v>46020.0</v>
      </c>
      <c r="D20" s="74" t="s">
        <v>79</v>
      </c>
      <c r="E20" s="60">
        <v>0.05</v>
      </c>
      <c r="F20" s="58">
        <f>E18*E20</f>
        <v>498.495</v>
      </c>
      <c r="G20" s="45"/>
      <c r="M20" s="47"/>
      <c r="N20" s="86">
        <v>535.0</v>
      </c>
      <c r="O20" s="86" t="s">
        <v>290</v>
      </c>
    </row>
    <row r="21">
      <c r="A21" s="27" t="s">
        <v>61</v>
      </c>
      <c r="B21" s="20">
        <v>2313.53</v>
      </c>
      <c r="C21" s="106">
        <v>46020.0</v>
      </c>
      <c r="D21" s="74" t="s">
        <v>87</v>
      </c>
      <c r="E21" s="60">
        <v>0.2</v>
      </c>
      <c r="F21" s="58">
        <f>E18*E21</f>
        <v>1993.98</v>
      </c>
      <c r="G21" s="45"/>
      <c r="M21" s="47"/>
      <c r="N21" s="86">
        <v>326.0</v>
      </c>
    </row>
    <row r="22">
      <c r="A22" s="27" t="s">
        <v>108</v>
      </c>
      <c r="B22" s="20">
        <v>246.09</v>
      </c>
      <c r="C22" s="106">
        <v>46020.0</v>
      </c>
      <c r="D22" s="56" t="s">
        <v>63</v>
      </c>
      <c r="E22" s="57">
        <v>0.1</v>
      </c>
      <c r="F22" s="58">
        <f>E18*E22</f>
        <v>996.99</v>
      </c>
      <c r="G22" s="45"/>
      <c r="M22" s="47"/>
    </row>
    <row r="23">
      <c r="A23" s="25"/>
      <c r="B23" s="26"/>
      <c r="C23" s="50"/>
      <c r="D23" s="56" t="s">
        <v>64</v>
      </c>
      <c r="E23" s="60">
        <v>0.1</v>
      </c>
      <c r="F23" s="58">
        <f>E18*E23</f>
        <v>996.99</v>
      </c>
      <c r="G23" s="45"/>
      <c r="M23" s="47"/>
    </row>
    <row r="24">
      <c r="A24" s="25"/>
      <c r="B24" s="26"/>
      <c r="C24" s="50"/>
      <c r="D24" s="62" t="s">
        <v>65</v>
      </c>
      <c r="E24" s="47"/>
      <c r="F24" s="63">
        <f>SUM(F19:F23)</f>
        <v>9969.9</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7870.16</v>
      </c>
      <c r="C27" s="11"/>
      <c r="D27" s="11"/>
      <c r="E27" s="11"/>
      <c r="F27" s="11"/>
      <c r="G27" s="45"/>
      <c r="H27" s="17"/>
      <c r="I27" s="17"/>
      <c r="J27" s="17"/>
      <c r="K27" s="17"/>
      <c r="L27" s="17"/>
      <c r="M27" s="18"/>
    </row>
    <row r="31">
      <c r="A31" s="91" t="s">
        <v>132</v>
      </c>
      <c r="B31" s="92">
        <f>SUM(B17:B26)</f>
        <v>6377.03</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s>
  <sheetData>
    <row r="1">
      <c r="A1" s="7" t="s">
        <v>23</v>
      </c>
      <c r="B1" s="8">
        <f>F19</f>
        <v>5775</v>
      </c>
      <c r="C1" s="7" t="s">
        <v>23</v>
      </c>
      <c r="D1" s="8">
        <f>F20</f>
        <v>525</v>
      </c>
      <c r="E1" s="7" t="s">
        <v>23</v>
      </c>
      <c r="F1" s="8">
        <f>F21</f>
        <v>2100</v>
      </c>
      <c r="G1" s="7" t="s">
        <v>23</v>
      </c>
      <c r="H1" s="8">
        <f>F22</f>
        <v>1050</v>
      </c>
      <c r="I1" s="7" t="s">
        <v>23</v>
      </c>
      <c r="J1" s="8">
        <f>F23</f>
        <v>1050</v>
      </c>
      <c r="K1" s="9" t="s">
        <v>24</v>
      </c>
      <c r="L1" s="10">
        <f t="shared" ref="L1:L2" si="1">SUM(B1,D1,F1,H1,J1)</f>
        <v>10500</v>
      </c>
      <c r="M1" s="11"/>
    </row>
    <row r="2">
      <c r="A2" s="12" t="s">
        <v>25</v>
      </c>
      <c r="B2" s="13">
        <f>B1-B27</f>
        <v>-5965.22</v>
      </c>
      <c r="C2" s="12" t="s">
        <v>25</v>
      </c>
      <c r="D2" s="13">
        <f>D1-D15</f>
        <v>287.05</v>
      </c>
      <c r="E2" s="12" t="s">
        <v>25</v>
      </c>
      <c r="F2" s="13">
        <f>F1-F15</f>
        <v>1247</v>
      </c>
      <c r="G2" s="12" t="s">
        <v>25</v>
      </c>
      <c r="H2" s="13">
        <f>H1-H15</f>
        <v>1050</v>
      </c>
      <c r="I2" s="12" t="s">
        <v>25</v>
      </c>
      <c r="J2" s="13">
        <f>J1-J15</f>
        <v>1050</v>
      </c>
      <c r="K2" s="14" t="s">
        <v>26</v>
      </c>
      <c r="L2" s="15">
        <f t="shared" si="1"/>
        <v>-2331.17</v>
      </c>
      <c r="M2" s="11"/>
    </row>
    <row r="3">
      <c r="A3" s="16" t="s">
        <v>27</v>
      </c>
      <c r="B3" s="17"/>
      <c r="C3" s="71" t="s">
        <v>77</v>
      </c>
      <c r="D3" s="18"/>
      <c r="E3" s="71" t="s">
        <v>80</v>
      </c>
      <c r="F3" s="18"/>
      <c r="G3" s="16" t="s">
        <v>30</v>
      </c>
      <c r="H3" s="18"/>
      <c r="I3" s="16" t="s">
        <v>31</v>
      </c>
      <c r="J3" s="18"/>
      <c r="M3" s="11"/>
    </row>
    <row r="4">
      <c r="A4" s="27" t="s">
        <v>32</v>
      </c>
      <c r="B4" s="20">
        <v>127.0</v>
      </c>
      <c r="C4" s="21" t="s">
        <v>34</v>
      </c>
      <c r="D4" s="20">
        <v>18.0</v>
      </c>
      <c r="E4" s="27" t="s">
        <v>99</v>
      </c>
      <c r="F4" s="20">
        <v>340.0</v>
      </c>
      <c r="G4" s="21"/>
      <c r="H4" s="22"/>
      <c r="I4" s="25"/>
      <c r="J4" s="26"/>
      <c r="K4" s="11"/>
      <c r="L4" s="35"/>
      <c r="M4" s="11"/>
    </row>
    <row r="5">
      <c r="A5" s="27" t="s">
        <v>35</v>
      </c>
      <c r="B5" s="20">
        <v>100.0</v>
      </c>
      <c r="C5" s="21" t="s">
        <v>36</v>
      </c>
      <c r="D5" s="20">
        <v>18.65</v>
      </c>
      <c r="E5" s="27" t="s">
        <v>320</v>
      </c>
      <c r="F5" s="20">
        <v>513.0</v>
      </c>
      <c r="G5" s="25"/>
      <c r="H5" s="26"/>
      <c r="I5" s="25"/>
      <c r="J5" s="26"/>
      <c r="K5" s="11"/>
      <c r="L5" s="11"/>
      <c r="M5" s="11"/>
    </row>
    <row r="6">
      <c r="A6" s="27" t="s">
        <v>37</v>
      </c>
      <c r="B6" s="20">
        <v>149.0</v>
      </c>
      <c r="C6" s="21" t="s">
        <v>100</v>
      </c>
      <c r="D6" s="20">
        <v>55.9</v>
      </c>
      <c r="E6" s="21"/>
      <c r="F6" s="23"/>
      <c r="G6" s="25"/>
      <c r="H6" s="26"/>
      <c r="I6" s="25"/>
      <c r="J6" s="26"/>
      <c r="K6" s="11"/>
      <c r="L6" s="28"/>
      <c r="M6" s="11"/>
      <c r="O6" s="86">
        <f>750*4</f>
        <v>3000</v>
      </c>
    </row>
    <row r="7">
      <c r="A7" s="27" t="s">
        <v>91</v>
      </c>
      <c r="B7" s="20">
        <v>227.0</v>
      </c>
      <c r="C7" s="21" t="s">
        <v>40</v>
      </c>
      <c r="D7" s="20">
        <v>19.9</v>
      </c>
      <c r="E7" s="25"/>
      <c r="F7" s="26"/>
      <c r="G7" s="25"/>
      <c r="H7" s="26"/>
      <c r="I7" s="25"/>
      <c r="J7" s="26"/>
      <c r="K7" s="11"/>
      <c r="L7" s="66">
        <v>4700.0</v>
      </c>
      <c r="M7" s="66">
        <v>4700.0</v>
      </c>
    </row>
    <row r="8">
      <c r="A8" s="27" t="s">
        <v>92</v>
      </c>
      <c r="B8" s="20">
        <v>262.68</v>
      </c>
      <c r="C8" s="21" t="s">
        <v>44</v>
      </c>
      <c r="D8" s="20">
        <v>11.6</v>
      </c>
      <c r="E8" s="31"/>
      <c r="F8" s="26"/>
      <c r="G8" s="25"/>
      <c r="H8" s="26"/>
      <c r="I8" s="25"/>
      <c r="J8" s="26"/>
      <c r="K8" s="28"/>
      <c r="L8" s="66">
        <v>5400.0</v>
      </c>
      <c r="M8" s="35">
        <v>6205.0</v>
      </c>
    </row>
    <row r="9">
      <c r="A9" s="27" t="s">
        <v>43</v>
      </c>
      <c r="B9" s="20">
        <v>352.5</v>
      </c>
      <c r="C9" s="21" t="s">
        <v>101</v>
      </c>
      <c r="D9" s="20">
        <v>0.0</v>
      </c>
      <c r="E9" s="31"/>
      <c r="F9" s="26"/>
      <c r="G9" s="25"/>
      <c r="H9" s="26"/>
      <c r="I9" s="25"/>
      <c r="J9" s="26"/>
      <c r="K9" s="11"/>
      <c r="L9" s="66"/>
      <c r="M9" s="11"/>
    </row>
    <row r="10">
      <c r="A10" s="73" t="s">
        <v>102</v>
      </c>
      <c r="B10" s="20">
        <v>220.0</v>
      </c>
      <c r="C10" s="21" t="s">
        <v>283</v>
      </c>
      <c r="D10" s="69">
        <v>89.0</v>
      </c>
      <c r="E10" s="25"/>
      <c r="F10" s="26"/>
      <c r="G10" s="25"/>
      <c r="H10" s="26"/>
      <c r="I10" s="25"/>
      <c r="J10" s="26"/>
      <c r="K10" s="11"/>
    </row>
    <row r="11">
      <c r="A11" s="21" t="s">
        <v>104</v>
      </c>
      <c r="B11" s="23">
        <v>74.0</v>
      </c>
      <c r="C11" s="21" t="s">
        <v>129</v>
      </c>
      <c r="D11" s="20">
        <v>24.9</v>
      </c>
      <c r="E11" s="31"/>
      <c r="F11" s="26"/>
      <c r="G11" s="31"/>
      <c r="H11" s="26"/>
      <c r="I11" s="25"/>
      <c r="J11" s="26"/>
      <c r="K11" s="11"/>
      <c r="L11" s="66"/>
      <c r="M11" s="11"/>
    </row>
    <row r="12">
      <c r="A12" s="32"/>
      <c r="B12" s="33"/>
      <c r="C12" s="21"/>
      <c r="D12" s="23"/>
      <c r="E12" s="31"/>
      <c r="F12" s="26"/>
      <c r="G12" s="31"/>
      <c r="H12" s="26"/>
      <c r="I12" s="31"/>
      <c r="J12" s="26"/>
      <c r="K12" s="11"/>
      <c r="L12" s="28">
        <f>SUM(L7:L11)</f>
        <v>10100</v>
      </c>
      <c r="M12" s="11"/>
    </row>
    <row r="13">
      <c r="A13" s="31"/>
      <c r="B13" s="23"/>
      <c r="C13" s="31"/>
      <c r="D13" s="26"/>
      <c r="E13" s="31"/>
      <c r="F13" s="26"/>
      <c r="G13" s="31"/>
      <c r="H13" s="26"/>
      <c r="I13" s="31"/>
      <c r="J13" s="26"/>
      <c r="K13" s="11"/>
      <c r="L13" s="28"/>
      <c r="M13" s="11"/>
      <c r="O13" s="81">
        <v>297.0</v>
      </c>
    </row>
    <row r="14">
      <c r="A14" s="31"/>
      <c r="B14" s="26"/>
      <c r="C14" s="31"/>
      <c r="D14" s="26"/>
      <c r="E14" s="31"/>
      <c r="F14" s="26"/>
      <c r="G14" s="31"/>
      <c r="H14" s="26"/>
      <c r="I14" s="31"/>
      <c r="J14" s="26"/>
      <c r="K14" s="11"/>
      <c r="L14" s="11"/>
      <c r="M14" s="11"/>
    </row>
    <row r="15">
      <c r="A15" s="25" t="s">
        <v>49</v>
      </c>
      <c r="B15" s="38">
        <f>SUM(B4:B14)</f>
        <v>1512.18</v>
      </c>
      <c r="C15" s="25" t="s">
        <v>50</v>
      </c>
      <c r="D15" s="26">
        <f>SUM(D4:D14)</f>
        <v>237.95</v>
      </c>
      <c r="E15" s="39" t="s">
        <v>50</v>
      </c>
      <c r="F15" s="40">
        <f>SUM(F4:F14)</f>
        <v>853</v>
      </c>
      <c r="G15" s="39" t="s">
        <v>50</v>
      </c>
      <c r="H15" s="40">
        <f>SUM(H4:H14)</f>
        <v>0</v>
      </c>
      <c r="I15" s="39" t="s">
        <v>50</v>
      </c>
      <c r="J15" s="40">
        <f>SUM(J4:J14)</f>
        <v>0</v>
      </c>
      <c r="K15" s="11"/>
      <c r="L15" s="11"/>
      <c r="M15" s="11"/>
    </row>
    <row r="16">
      <c r="A16" s="41" t="s">
        <v>51</v>
      </c>
      <c r="B16" s="17"/>
      <c r="C16" s="102" t="s">
        <v>286</v>
      </c>
      <c r="D16" s="42"/>
      <c r="E16" s="42"/>
      <c r="F16" s="42"/>
      <c r="G16" s="11"/>
      <c r="H16" s="42"/>
      <c r="I16" s="42"/>
      <c r="J16" s="42"/>
      <c r="K16" s="42"/>
      <c r="L16" s="42"/>
      <c r="M16" s="42"/>
    </row>
    <row r="17">
      <c r="A17" s="27" t="s">
        <v>52</v>
      </c>
      <c r="B17" s="20">
        <v>1953.57</v>
      </c>
      <c r="C17" s="106">
        <v>46045.0</v>
      </c>
      <c r="D17" s="44" t="s">
        <v>53</v>
      </c>
      <c r="E17" s="17"/>
      <c r="F17" s="18"/>
      <c r="G17" s="45"/>
      <c r="H17" s="46" t="s">
        <v>54</v>
      </c>
      <c r="M17" s="47"/>
      <c r="N17" s="86">
        <v>235.0</v>
      </c>
      <c r="O17" s="86" t="s">
        <v>288</v>
      </c>
    </row>
    <row r="18">
      <c r="A18" s="27" t="s">
        <v>55</v>
      </c>
      <c r="B18" s="20">
        <v>3922.39</v>
      </c>
      <c r="C18" s="106">
        <v>46045.0</v>
      </c>
      <c r="D18" s="51" t="s">
        <v>56</v>
      </c>
      <c r="E18" s="52">
        <v>10500.0</v>
      </c>
      <c r="F18" s="18"/>
      <c r="G18" s="45"/>
      <c r="M18" s="47"/>
      <c r="N18" s="86">
        <v>205.0</v>
      </c>
      <c r="O18" s="86" t="s">
        <v>289</v>
      </c>
    </row>
    <row r="19">
      <c r="A19" s="27" t="s">
        <v>57</v>
      </c>
      <c r="B19" s="20">
        <v>2079.0</v>
      </c>
      <c r="C19" s="106">
        <v>46045.0</v>
      </c>
      <c r="D19" s="56" t="s">
        <v>58</v>
      </c>
      <c r="E19" s="107">
        <v>0.55</v>
      </c>
      <c r="F19" s="58">
        <f>E18*E19</f>
        <v>5775</v>
      </c>
      <c r="G19" s="45"/>
      <c r="M19" s="47"/>
      <c r="N19" s="86">
        <v>100.0</v>
      </c>
      <c r="O19" s="86" t="s">
        <v>35</v>
      </c>
    </row>
    <row r="20">
      <c r="A20" s="27" t="s">
        <v>59</v>
      </c>
      <c r="B20" s="20">
        <v>256.5</v>
      </c>
      <c r="C20" s="106">
        <v>46020.0</v>
      </c>
      <c r="D20" s="74" t="s">
        <v>79</v>
      </c>
      <c r="E20" s="60">
        <v>0.05</v>
      </c>
      <c r="F20" s="58">
        <f>E18*E20</f>
        <v>525</v>
      </c>
      <c r="G20" s="45"/>
      <c r="M20" s="47"/>
      <c r="N20" s="86">
        <v>535.0</v>
      </c>
      <c r="O20" s="86" t="s">
        <v>290</v>
      </c>
    </row>
    <row r="21">
      <c r="A21" s="27" t="s">
        <v>61</v>
      </c>
      <c r="B21" s="20">
        <v>1874.92</v>
      </c>
      <c r="C21" s="106">
        <v>46020.0</v>
      </c>
      <c r="D21" s="74" t="s">
        <v>87</v>
      </c>
      <c r="E21" s="60">
        <v>0.2</v>
      </c>
      <c r="F21" s="58">
        <f>E18*E21</f>
        <v>2100</v>
      </c>
      <c r="G21" s="45"/>
      <c r="M21" s="47"/>
    </row>
    <row r="22">
      <c r="A22" s="122" t="s">
        <v>108</v>
      </c>
      <c r="B22" s="123">
        <v>141.66</v>
      </c>
      <c r="C22" s="106">
        <v>46020.0</v>
      </c>
      <c r="D22" s="56" t="s">
        <v>63</v>
      </c>
      <c r="E22" s="57">
        <v>0.1</v>
      </c>
      <c r="F22" s="58">
        <f>E18*E22</f>
        <v>1050</v>
      </c>
      <c r="G22" s="45"/>
      <c r="M22" s="47"/>
    </row>
    <row r="23">
      <c r="A23" s="25"/>
      <c r="B23" s="26"/>
      <c r="C23" s="50"/>
      <c r="D23" s="56" t="s">
        <v>64</v>
      </c>
      <c r="E23" s="60">
        <v>0.1</v>
      </c>
      <c r="F23" s="58">
        <f>E18*E23</f>
        <v>1050</v>
      </c>
      <c r="G23" s="45"/>
      <c r="M23" s="47"/>
    </row>
    <row r="24">
      <c r="A24" s="25"/>
      <c r="B24" s="26"/>
      <c r="C24" s="50"/>
      <c r="D24" s="62" t="s">
        <v>65</v>
      </c>
      <c r="E24" s="47"/>
      <c r="F24" s="63">
        <f>SUM(F19:F23)</f>
        <v>10500</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11740.22</v>
      </c>
      <c r="C27" s="11"/>
      <c r="D27" s="11"/>
      <c r="E27" s="11"/>
      <c r="F27" s="11"/>
      <c r="G27" s="45"/>
      <c r="H27" s="17"/>
      <c r="I27" s="17"/>
      <c r="J27" s="17"/>
      <c r="K27" s="17"/>
      <c r="L27" s="17"/>
      <c r="M27" s="18"/>
    </row>
    <row r="31">
      <c r="A31" s="91" t="s">
        <v>132</v>
      </c>
      <c r="B31" s="92">
        <f>SUM(B17:B26)</f>
        <v>10228.04</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 customWidth="1" min="14" max="14" width="21.43"/>
  </cols>
  <sheetData>
    <row r="1">
      <c r="A1" s="7" t="s">
        <v>23</v>
      </c>
      <c r="B1" s="8">
        <f>F19</f>
        <v>7048.1455</v>
      </c>
      <c r="C1" s="7" t="s">
        <v>23</v>
      </c>
      <c r="D1" s="8">
        <f>F20</f>
        <v>640.7405</v>
      </c>
      <c r="E1" s="7" t="s">
        <v>23</v>
      </c>
      <c r="F1" s="8">
        <f>F21</f>
        <v>2562.962</v>
      </c>
      <c r="G1" s="7" t="s">
        <v>23</v>
      </c>
      <c r="H1" s="8">
        <f>F22</f>
        <v>1281.481</v>
      </c>
      <c r="I1" s="7" t="s">
        <v>23</v>
      </c>
      <c r="J1" s="8">
        <f>F23</f>
        <v>1281.481</v>
      </c>
      <c r="K1" s="9" t="s">
        <v>24</v>
      </c>
      <c r="L1" s="10">
        <f t="shared" ref="L1:L2" si="1">SUM(B1,D1,F1,H1,J1)</f>
        <v>12814.81</v>
      </c>
      <c r="M1" s="11"/>
      <c r="N1" s="124" t="s">
        <v>340</v>
      </c>
      <c r="O1" s="8" t="s">
        <v>341</v>
      </c>
    </row>
    <row r="2">
      <c r="A2" s="12" t="s">
        <v>25</v>
      </c>
      <c r="B2" s="13">
        <f>B1-B27</f>
        <v>-6662.9345</v>
      </c>
      <c r="C2" s="12" t="s">
        <v>25</v>
      </c>
      <c r="D2" s="13">
        <f>D1-D15</f>
        <v>446.7905</v>
      </c>
      <c r="E2" s="12" t="s">
        <v>25</v>
      </c>
      <c r="F2" s="13">
        <f>F1-F15</f>
        <v>1879.962</v>
      </c>
      <c r="G2" s="12" t="s">
        <v>25</v>
      </c>
      <c r="H2" s="13">
        <f>H1-H15</f>
        <v>1281.481</v>
      </c>
      <c r="I2" s="12" t="s">
        <v>25</v>
      </c>
      <c r="J2" s="13">
        <f>J1-J15</f>
        <v>1281.481</v>
      </c>
      <c r="K2" s="14" t="s">
        <v>26</v>
      </c>
      <c r="L2" s="15">
        <f t="shared" si="1"/>
        <v>-1773.22</v>
      </c>
      <c r="M2" s="11"/>
      <c r="N2" s="125" t="s">
        <v>34</v>
      </c>
      <c r="O2" s="69">
        <v>35.93</v>
      </c>
    </row>
    <row r="3">
      <c r="A3" s="16" t="s">
        <v>27</v>
      </c>
      <c r="B3" s="17"/>
      <c r="C3" s="71" t="s">
        <v>77</v>
      </c>
      <c r="D3" s="18"/>
      <c r="E3" s="71" t="s">
        <v>80</v>
      </c>
      <c r="F3" s="18"/>
      <c r="G3" s="16" t="s">
        <v>30</v>
      </c>
      <c r="H3" s="18"/>
      <c r="I3" s="16" t="s">
        <v>31</v>
      </c>
      <c r="J3" s="18"/>
      <c r="M3" s="11"/>
      <c r="N3" s="19" t="s">
        <v>288</v>
      </c>
      <c r="O3" s="20">
        <v>235.0</v>
      </c>
    </row>
    <row r="4">
      <c r="A4" s="27" t="s">
        <v>32</v>
      </c>
      <c r="B4" s="20">
        <v>127.0</v>
      </c>
      <c r="C4" s="27" t="s">
        <v>34</v>
      </c>
      <c r="D4" s="20">
        <v>18.0</v>
      </c>
      <c r="E4" s="27" t="s">
        <v>99</v>
      </c>
      <c r="F4" s="20">
        <v>170.0</v>
      </c>
      <c r="G4" s="21"/>
      <c r="H4" s="22"/>
      <c r="I4" s="25"/>
      <c r="J4" s="26"/>
      <c r="K4" s="11"/>
      <c r="L4" s="35"/>
      <c r="M4" s="11"/>
      <c r="N4" s="21" t="s">
        <v>342</v>
      </c>
      <c r="O4" s="23">
        <v>45.0</v>
      </c>
    </row>
    <row r="5">
      <c r="A5" s="111" t="s">
        <v>35</v>
      </c>
      <c r="B5" s="112">
        <v>100.0</v>
      </c>
      <c r="C5" s="27" t="s">
        <v>36</v>
      </c>
      <c r="D5" s="20">
        <v>18.65</v>
      </c>
      <c r="E5" s="21" t="s">
        <v>320</v>
      </c>
      <c r="F5" s="23">
        <v>513.0</v>
      </c>
      <c r="G5" s="25"/>
      <c r="H5" s="26"/>
      <c r="I5" s="25"/>
      <c r="J5" s="26"/>
      <c r="K5" s="11"/>
      <c r="L5" s="11"/>
      <c r="M5" s="11"/>
      <c r="N5" s="27" t="s">
        <v>103</v>
      </c>
      <c r="O5" s="20">
        <v>66.0</v>
      </c>
    </row>
    <row r="6">
      <c r="A6" s="21" t="s">
        <v>37</v>
      </c>
      <c r="B6" s="23">
        <v>139.64</v>
      </c>
      <c r="C6" s="21" t="s">
        <v>100</v>
      </c>
      <c r="D6" s="23">
        <v>55.9</v>
      </c>
      <c r="E6" s="21"/>
      <c r="F6" s="23"/>
      <c r="G6" s="25"/>
      <c r="H6" s="26"/>
      <c r="I6" s="25"/>
      <c r="J6" s="26"/>
      <c r="K6" s="11"/>
      <c r="L6" s="28"/>
      <c r="M6" s="11"/>
    </row>
    <row r="7">
      <c r="A7" s="27" t="s">
        <v>91</v>
      </c>
      <c r="B7" s="20">
        <v>239.0</v>
      </c>
      <c r="C7" s="27" t="s">
        <v>40</v>
      </c>
      <c r="D7" s="20">
        <v>19.9</v>
      </c>
      <c r="E7" s="25"/>
      <c r="F7" s="26"/>
      <c r="G7" s="25"/>
      <c r="H7" s="26"/>
      <c r="I7" s="25"/>
      <c r="J7" s="26"/>
      <c r="K7" s="11"/>
      <c r="L7" s="66">
        <v>4800.0</v>
      </c>
      <c r="M7" s="66">
        <v>4864.0</v>
      </c>
    </row>
    <row r="8">
      <c r="A8" s="27" t="s">
        <v>92</v>
      </c>
      <c r="B8" s="20">
        <v>239.0</v>
      </c>
      <c r="C8" s="27" t="s">
        <v>44</v>
      </c>
      <c r="D8" s="20">
        <v>11.6</v>
      </c>
      <c r="E8" s="31"/>
      <c r="F8" s="26"/>
      <c r="G8" s="25"/>
      <c r="H8" s="26"/>
      <c r="I8" s="25"/>
      <c r="J8" s="26"/>
      <c r="K8" s="28"/>
      <c r="L8" s="66">
        <v>5400.0</v>
      </c>
      <c r="M8" s="35">
        <v>6205.0</v>
      </c>
    </row>
    <row r="9">
      <c r="A9" s="27" t="s">
        <v>43</v>
      </c>
      <c r="B9" s="20">
        <v>352.5</v>
      </c>
      <c r="C9" s="27" t="s">
        <v>101</v>
      </c>
      <c r="D9" s="20">
        <v>0.0</v>
      </c>
      <c r="E9" s="31"/>
      <c r="F9" s="26"/>
      <c r="G9" s="25"/>
      <c r="H9" s="26"/>
      <c r="I9" s="25"/>
      <c r="J9" s="26"/>
      <c r="K9" s="11"/>
      <c r="L9" s="66"/>
      <c r="M9" s="11"/>
    </row>
    <row r="10">
      <c r="A10" s="73" t="s">
        <v>102</v>
      </c>
      <c r="B10" s="20">
        <v>275.0</v>
      </c>
      <c r="C10" s="21" t="s">
        <v>283</v>
      </c>
      <c r="D10" s="23">
        <v>45.0</v>
      </c>
      <c r="E10" s="25"/>
      <c r="F10" s="26"/>
      <c r="G10" s="25"/>
      <c r="H10" s="26"/>
      <c r="I10" s="25"/>
      <c r="J10" s="26"/>
      <c r="K10" s="11"/>
    </row>
    <row r="11">
      <c r="A11" s="21" t="s">
        <v>104</v>
      </c>
      <c r="B11" s="23">
        <v>74.0</v>
      </c>
      <c r="C11" s="21" t="s">
        <v>129</v>
      </c>
      <c r="D11" s="23">
        <v>24.9</v>
      </c>
      <c r="E11" s="31"/>
      <c r="F11" s="26"/>
      <c r="G11" s="31"/>
      <c r="H11" s="26"/>
      <c r="I11" s="25"/>
      <c r="J11" s="26"/>
      <c r="K11" s="11"/>
      <c r="L11" s="66"/>
      <c r="M11" s="11"/>
      <c r="O11" s="81">
        <v>297.0</v>
      </c>
    </row>
    <row r="12">
      <c r="A12" s="32"/>
      <c r="B12" s="33"/>
      <c r="C12" s="21"/>
      <c r="D12" s="23"/>
      <c r="E12" s="31"/>
      <c r="F12" s="26"/>
      <c r="G12" s="31"/>
      <c r="H12" s="26"/>
      <c r="I12" s="31"/>
      <c r="J12" s="26"/>
      <c r="K12" s="11"/>
      <c r="L12" s="28">
        <f>SUM(L7:L11)</f>
        <v>10200</v>
      </c>
      <c r="M12" s="11"/>
    </row>
    <row r="13">
      <c r="A13" s="31"/>
      <c r="B13" s="23"/>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1546.14</v>
      </c>
      <c r="C15" s="25" t="s">
        <v>50</v>
      </c>
      <c r="D15" s="26">
        <f>SUM(D4:D14)</f>
        <v>193.95</v>
      </c>
      <c r="E15" s="39" t="s">
        <v>50</v>
      </c>
      <c r="F15" s="40">
        <f>SUM(F4:F14)</f>
        <v>683</v>
      </c>
      <c r="G15" s="39" t="s">
        <v>50</v>
      </c>
      <c r="H15" s="40">
        <f>SUM(H4:H14)</f>
        <v>0</v>
      </c>
      <c r="I15" s="39" t="s">
        <v>50</v>
      </c>
      <c r="J15" s="40">
        <f>SUM(J4:J14)</f>
        <v>0</v>
      </c>
      <c r="K15" s="11"/>
      <c r="L15" s="11"/>
      <c r="M15" s="11"/>
    </row>
    <row r="16">
      <c r="A16" s="41" t="s">
        <v>51</v>
      </c>
      <c r="B16" s="17"/>
      <c r="C16" s="102" t="s">
        <v>286</v>
      </c>
      <c r="D16" s="42"/>
      <c r="E16" s="42"/>
      <c r="F16" s="42"/>
      <c r="G16" s="11"/>
      <c r="H16" s="42"/>
      <c r="I16" s="42"/>
      <c r="J16" s="42"/>
      <c r="K16" s="42"/>
      <c r="L16" s="42"/>
      <c r="M16" s="42"/>
    </row>
    <row r="17">
      <c r="A17" s="27" t="s">
        <v>52</v>
      </c>
      <c r="B17" s="20">
        <v>2341.0</v>
      </c>
      <c r="C17" s="106">
        <v>46045.0</v>
      </c>
      <c r="D17" s="44" t="s">
        <v>53</v>
      </c>
      <c r="E17" s="17"/>
      <c r="F17" s="18"/>
      <c r="G17" s="45"/>
      <c r="H17" s="46" t="s">
        <v>343</v>
      </c>
      <c r="M17" s="47"/>
      <c r="N17" s="86">
        <v>235.0</v>
      </c>
    </row>
    <row r="18">
      <c r="A18" s="27" t="s">
        <v>55</v>
      </c>
      <c r="B18" s="20">
        <v>2145.0</v>
      </c>
      <c r="C18" s="106">
        <v>46071.0</v>
      </c>
      <c r="D18" s="51" t="s">
        <v>56</v>
      </c>
      <c r="E18" s="52">
        <v>12814.81</v>
      </c>
      <c r="F18" s="18"/>
      <c r="G18" s="45"/>
      <c r="M18" s="47"/>
      <c r="N18" s="86">
        <v>205.0</v>
      </c>
      <c r="O18" s="86" t="s">
        <v>289</v>
      </c>
    </row>
    <row r="19">
      <c r="A19" s="126" t="s">
        <v>57</v>
      </c>
      <c r="B19" s="88">
        <v>4016.0</v>
      </c>
      <c r="C19" s="106">
        <v>46071.0</v>
      </c>
      <c r="D19" s="56" t="s">
        <v>58</v>
      </c>
      <c r="E19" s="107">
        <v>0.55</v>
      </c>
      <c r="F19" s="58">
        <f>E18*E19</f>
        <v>7048.1455</v>
      </c>
      <c r="G19" s="45"/>
      <c r="M19" s="47"/>
      <c r="N19" s="86">
        <v>100.0</v>
      </c>
      <c r="O19" s="86" t="s">
        <v>35</v>
      </c>
    </row>
    <row r="20">
      <c r="A20" s="27" t="s">
        <v>59</v>
      </c>
      <c r="B20" s="20">
        <v>1844.0</v>
      </c>
      <c r="C20" s="106">
        <v>46071.0</v>
      </c>
      <c r="D20" s="74" t="s">
        <v>79</v>
      </c>
      <c r="E20" s="60">
        <v>0.05</v>
      </c>
      <c r="F20" s="58">
        <f>E18*E20</f>
        <v>640.7405</v>
      </c>
      <c r="G20" s="45"/>
      <c r="M20" s="47"/>
      <c r="N20" s="86">
        <v>535.0</v>
      </c>
      <c r="O20" s="86" t="s">
        <v>290</v>
      </c>
    </row>
    <row r="21">
      <c r="A21" s="21" t="s">
        <v>61</v>
      </c>
      <c r="B21" s="23">
        <v>1677.28</v>
      </c>
      <c r="C21" s="106">
        <v>46071.0</v>
      </c>
      <c r="D21" s="74" t="s">
        <v>87</v>
      </c>
      <c r="E21" s="60">
        <v>0.2</v>
      </c>
      <c r="F21" s="58">
        <f>E18*E21</f>
        <v>2562.962</v>
      </c>
      <c r="G21" s="45"/>
      <c r="M21" s="47"/>
    </row>
    <row r="22">
      <c r="A22" s="122" t="s">
        <v>108</v>
      </c>
      <c r="B22" s="123">
        <v>141.66</v>
      </c>
      <c r="C22" s="106">
        <v>46020.0</v>
      </c>
      <c r="D22" s="56" t="s">
        <v>63</v>
      </c>
      <c r="E22" s="57">
        <v>0.1</v>
      </c>
      <c r="F22" s="58">
        <f>E18*E22</f>
        <v>1281.481</v>
      </c>
      <c r="G22" s="45"/>
      <c r="M22" s="47"/>
    </row>
    <row r="23">
      <c r="A23" s="25"/>
      <c r="B23" s="26"/>
      <c r="C23" s="50"/>
      <c r="D23" s="56" t="s">
        <v>64</v>
      </c>
      <c r="E23" s="60">
        <v>0.1</v>
      </c>
      <c r="F23" s="58">
        <f>E18*E23</f>
        <v>1281.481</v>
      </c>
      <c r="G23" s="45"/>
      <c r="M23" s="47"/>
    </row>
    <row r="24">
      <c r="A24" s="25"/>
      <c r="B24" s="26"/>
      <c r="C24" s="50"/>
      <c r="D24" s="62" t="s">
        <v>65</v>
      </c>
      <c r="E24" s="47"/>
      <c r="F24" s="63">
        <f>SUM(F19:F23)</f>
        <v>12814.81</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13711.08</v>
      </c>
      <c r="C27" s="11"/>
      <c r="D27" s="11"/>
      <c r="E27" s="11"/>
      <c r="F27" s="11"/>
      <c r="G27" s="45"/>
      <c r="H27" s="17"/>
      <c r="I27" s="17"/>
      <c r="J27" s="17"/>
      <c r="K27" s="17"/>
      <c r="L27" s="17"/>
      <c r="M27" s="18"/>
    </row>
    <row r="31">
      <c r="A31" s="91" t="s">
        <v>132</v>
      </c>
      <c r="B31" s="92">
        <f>SUM(B17:B26)</f>
        <v>12164.94</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 customWidth="1" min="14" max="14" width="18.43"/>
  </cols>
  <sheetData>
    <row r="1">
      <c r="A1" s="7" t="s">
        <v>23</v>
      </c>
      <c r="B1" s="8">
        <f>F19</f>
        <v>5769.4615</v>
      </c>
      <c r="C1" s="7" t="s">
        <v>23</v>
      </c>
      <c r="D1" s="8">
        <f>F20</f>
        <v>524.4965</v>
      </c>
      <c r="E1" s="7" t="s">
        <v>23</v>
      </c>
      <c r="F1" s="8">
        <f>F21</f>
        <v>2097.986</v>
      </c>
      <c r="G1" s="7" t="s">
        <v>23</v>
      </c>
      <c r="H1" s="8">
        <f>F22</f>
        <v>1048.993</v>
      </c>
      <c r="I1" s="7" t="s">
        <v>23</v>
      </c>
      <c r="J1" s="8">
        <f>F23</f>
        <v>1048.993</v>
      </c>
      <c r="K1" s="9" t="s">
        <v>24</v>
      </c>
      <c r="L1" s="10">
        <f t="shared" ref="L1:L2" si="1">SUM(B1,D1,F1,H1,J1)</f>
        <v>10489.93</v>
      </c>
      <c r="M1" s="11"/>
      <c r="N1" s="124" t="s">
        <v>340</v>
      </c>
      <c r="O1" s="8" t="s">
        <v>341</v>
      </c>
    </row>
    <row r="2">
      <c r="A2" s="12" t="s">
        <v>25</v>
      </c>
      <c r="B2" s="13">
        <f>B1-B27</f>
        <v>-8493.2685</v>
      </c>
      <c r="C2" s="12" t="s">
        <v>25</v>
      </c>
      <c r="D2" s="13">
        <f>D1-D15</f>
        <v>330.5465</v>
      </c>
      <c r="E2" s="12" t="s">
        <v>25</v>
      </c>
      <c r="F2" s="13">
        <f>F1-F15</f>
        <v>1757.986</v>
      </c>
      <c r="G2" s="12" t="s">
        <v>25</v>
      </c>
      <c r="H2" s="13">
        <f>H1-H15</f>
        <v>1048.993</v>
      </c>
      <c r="I2" s="12" t="s">
        <v>25</v>
      </c>
      <c r="J2" s="13">
        <f>J1-J15</f>
        <v>1048.993</v>
      </c>
      <c r="K2" s="14" t="s">
        <v>26</v>
      </c>
      <c r="L2" s="15">
        <f t="shared" si="1"/>
        <v>-4306.75</v>
      </c>
      <c r="M2" s="11"/>
      <c r="N2" s="125" t="s">
        <v>34</v>
      </c>
      <c r="O2" s="69">
        <v>35.93</v>
      </c>
    </row>
    <row r="3">
      <c r="A3" s="16" t="s">
        <v>27</v>
      </c>
      <c r="B3" s="17"/>
      <c r="C3" s="71" t="s">
        <v>77</v>
      </c>
      <c r="D3" s="18"/>
      <c r="E3" s="71" t="s">
        <v>80</v>
      </c>
      <c r="F3" s="18"/>
      <c r="G3" s="16" t="s">
        <v>30</v>
      </c>
      <c r="H3" s="18"/>
      <c r="I3" s="16" t="s">
        <v>31</v>
      </c>
      <c r="J3" s="18"/>
      <c r="M3" s="11"/>
      <c r="N3" s="19" t="s">
        <v>288</v>
      </c>
      <c r="O3" s="20">
        <v>235.0</v>
      </c>
    </row>
    <row r="4">
      <c r="A4" s="27" t="s">
        <v>32</v>
      </c>
      <c r="B4" s="20">
        <v>127.0</v>
      </c>
      <c r="C4" s="27" t="s">
        <v>34</v>
      </c>
      <c r="D4" s="20">
        <v>18.0</v>
      </c>
      <c r="E4" s="27" t="s">
        <v>99</v>
      </c>
      <c r="F4" s="20">
        <v>340.0</v>
      </c>
      <c r="G4" s="21"/>
      <c r="H4" s="22"/>
      <c r="I4" s="25"/>
      <c r="J4" s="26"/>
      <c r="K4" s="11"/>
      <c r="L4" s="35"/>
      <c r="M4" s="11"/>
      <c r="N4" s="21" t="s">
        <v>342</v>
      </c>
      <c r="O4" s="23">
        <v>45.0</v>
      </c>
    </row>
    <row r="5">
      <c r="A5" s="111" t="s">
        <v>35</v>
      </c>
      <c r="B5" s="112">
        <v>100.0</v>
      </c>
      <c r="C5" s="27" t="s">
        <v>36</v>
      </c>
      <c r="D5" s="20">
        <v>18.65</v>
      </c>
      <c r="E5" s="21" t="s">
        <v>320</v>
      </c>
      <c r="F5" s="23"/>
      <c r="G5" s="25"/>
      <c r="H5" s="26"/>
      <c r="I5" s="25"/>
      <c r="J5" s="26"/>
      <c r="K5" s="11"/>
      <c r="L5" s="11"/>
      <c r="M5" s="11"/>
      <c r="N5" s="27" t="s">
        <v>103</v>
      </c>
      <c r="O5" s="20">
        <v>66.0</v>
      </c>
    </row>
    <row r="6">
      <c r="A6" s="21" t="s">
        <v>37</v>
      </c>
      <c r="B6" s="23">
        <v>139.64</v>
      </c>
      <c r="C6" s="27" t="s">
        <v>100</v>
      </c>
      <c r="D6" s="20">
        <v>55.9</v>
      </c>
      <c r="E6" s="21"/>
      <c r="F6" s="23"/>
      <c r="G6" s="25"/>
      <c r="H6" s="26"/>
      <c r="I6" s="25"/>
      <c r="J6" s="26"/>
      <c r="K6" s="11"/>
      <c r="L6" s="28"/>
      <c r="M6" s="11"/>
      <c r="N6" s="127" t="s">
        <v>344</v>
      </c>
      <c r="O6" s="128">
        <f>SUM(D4:D11,D8,B5)</f>
        <v>305.55</v>
      </c>
    </row>
    <row r="7">
      <c r="A7" s="27" t="s">
        <v>91</v>
      </c>
      <c r="B7" s="20">
        <v>226.99</v>
      </c>
      <c r="C7" s="27" t="s">
        <v>40</v>
      </c>
      <c r="D7" s="20">
        <v>19.9</v>
      </c>
      <c r="E7" s="25"/>
      <c r="F7" s="26"/>
      <c r="G7" s="25"/>
      <c r="H7" s="26"/>
      <c r="I7" s="25"/>
      <c r="J7" s="26"/>
      <c r="K7" s="11"/>
      <c r="L7" s="66">
        <v>4721.21</v>
      </c>
      <c r="M7" s="66"/>
      <c r="N7" s="129" t="s">
        <v>345</v>
      </c>
      <c r="O7" s="130">
        <f>SUM(O2:O5)</f>
        <v>381.93</v>
      </c>
    </row>
    <row r="8">
      <c r="A8" s="27" t="s">
        <v>92</v>
      </c>
      <c r="B8" s="20">
        <v>262.6</v>
      </c>
      <c r="C8" s="27" t="s">
        <v>44</v>
      </c>
      <c r="D8" s="20">
        <v>11.6</v>
      </c>
      <c r="E8" s="31"/>
      <c r="F8" s="26"/>
      <c r="G8" s="25"/>
      <c r="H8" s="26"/>
      <c r="I8" s="25"/>
      <c r="J8" s="26"/>
      <c r="K8" s="28"/>
      <c r="L8" s="66">
        <v>5587.0</v>
      </c>
      <c r="M8" s="35"/>
    </row>
    <row r="9">
      <c r="A9" s="27" t="s">
        <v>43</v>
      </c>
      <c r="B9" s="20">
        <v>352.5</v>
      </c>
      <c r="C9" s="21" t="s">
        <v>283</v>
      </c>
      <c r="D9" s="23">
        <v>45.0</v>
      </c>
      <c r="E9" s="31"/>
      <c r="F9" s="26"/>
      <c r="G9" s="25"/>
      <c r="H9" s="26"/>
      <c r="I9" s="25"/>
      <c r="J9" s="26"/>
      <c r="K9" s="11"/>
      <c r="L9" s="66"/>
      <c r="M9" s="11"/>
      <c r="O9" s="81">
        <v>357.0</v>
      </c>
    </row>
    <row r="10">
      <c r="A10" s="73" t="s">
        <v>102</v>
      </c>
      <c r="B10" s="20">
        <v>295.0</v>
      </c>
      <c r="C10" s="111" t="s">
        <v>129</v>
      </c>
      <c r="D10" s="112">
        <v>24.9</v>
      </c>
      <c r="E10" s="25"/>
      <c r="F10" s="26"/>
      <c r="G10" s="25"/>
      <c r="H10" s="26"/>
      <c r="I10" s="25"/>
      <c r="J10" s="26"/>
      <c r="K10" s="11"/>
      <c r="O10" s="86">
        <v>104.0</v>
      </c>
    </row>
    <row r="11">
      <c r="A11" s="21"/>
      <c r="B11" s="23"/>
      <c r="C11" s="21"/>
      <c r="D11" s="23"/>
      <c r="E11" s="31"/>
      <c r="F11" s="26"/>
      <c r="G11" s="31"/>
      <c r="H11" s="26"/>
      <c r="I11" s="25"/>
      <c r="J11" s="26"/>
      <c r="K11" s="11"/>
      <c r="L11" s="66"/>
      <c r="M11" s="11"/>
    </row>
    <row r="12">
      <c r="A12" s="32"/>
      <c r="B12" s="33"/>
      <c r="C12" s="21"/>
      <c r="D12" s="23"/>
      <c r="E12" s="31"/>
      <c r="F12" s="26"/>
      <c r="G12" s="31"/>
      <c r="H12" s="26"/>
      <c r="I12" s="31"/>
      <c r="J12" s="26"/>
      <c r="K12" s="11"/>
      <c r="L12" s="66">
        <v>10108.0</v>
      </c>
      <c r="M12" s="11"/>
    </row>
    <row r="13">
      <c r="A13" s="31"/>
      <c r="B13" s="23"/>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1503.73</v>
      </c>
      <c r="C15" s="25" t="s">
        <v>50</v>
      </c>
      <c r="D15" s="26">
        <f>SUM(D4:D14)</f>
        <v>193.95</v>
      </c>
      <c r="E15" s="39" t="s">
        <v>50</v>
      </c>
      <c r="F15" s="40">
        <f>SUM(F4:F14)</f>
        <v>340</v>
      </c>
      <c r="G15" s="39" t="s">
        <v>50</v>
      </c>
      <c r="H15" s="40">
        <f>SUM(H4:H14)</f>
        <v>0</v>
      </c>
      <c r="I15" s="39" t="s">
        <v>50</v>
      </c>
      <c r="J15" s="40">
        <f>SUM(J4:J14)</f>
        <v>0</v>
      </c>
      <c r="K15" s="11"/>
      <c r="L15" s="11"/>
      <c r="M15" s="11"/>
    </row>
    <row r="16">
      <c r="A16" s="41" t="s">
        <v>51</v>
      </c>
      <c r="B16" s="17"/>
      <c r="C16" s="102" t="s">
        <v>286</v>
      </c>
      <c r="D16" s="42"/>
      <c r="E16" s="42"/>
      <c r="F16" s="42"/>
      <c r="G16" s="11"/>
      <c r="H16" s="42"/>
      <c r="I16" s="42"/>
      <c r="J16" s="42"/>
      <c r="K16" s="42"/>
      <c r="L16" s="42"/>
      <c r="M16" s="42"/>
    </row>
    <row r="17">
      <c r="A17" s="27" t="s">
        <v>52</v>
      </c>
      <c r="B17" s="20">
        <v>3390.0</v>
      </c>
      <c r="C17" s="106">
        <v>46115.0</v>
      </c>
      <c r="D17" s="44" t="s">
        <v>53</v>
      </c>
      <c r="E17" s="17"/>
      <c r="F17" s="18"/>
      <c r="G17" s="45"/>
      <c r="H17" s="46" t="s">
        <v>54</v>
      </c>
      <c r="M17" s="47"/>
    </row>
    <row r="18">
      <c r="A18" s="27" t="s">
        <v>55</v>
      </c>
      <c r="B18" s="20">
        <v>3427.0</v>
      </c>
      <c r="C18" s="106">
        <v>46115.0</v>
      </c>
      <c r="D18" s="51" t="s">
        <v>56</v>
      </c>
      <c r="E18" s="52">
        <f>SUM(L12,O7)</f>
        <v>10489.93</v>
      </c>
      <c r="F18" s="18"/>
      <c r="G18" s="45"/>
      <c r="M18" s="47"/>
      <c r="N18" s="86">
        <v>205.0</v>
      </c>
      <c r="O18" s="86" t="s">
        <v>289</v>
      </c>
    </row>
    <row r="19">
      <c r="A19" s="27" t="s">
        <v>57</v>
      </c>
      <c r="B19" s="20">
        <v>2743.0</v>
      </c>
      <c r="C19" s="106">
        <v>46115.0</v>
      </c>
      <c r="D19" s="56" t="s">
        <v>58</v>
      </c>
      <c r="E19" s="107">
        <v>0.55</v>
      </c>
      <c r="F19" s="58">
        <f>E18*E19</f>
        <v>5769.4615</v>
      </c>
      <c r="G19" s="45"/>
      <c r="M19" s="47"/>
      <c r="N19" s="86">
        <v>100.0</v>
      </c>
      <c r="O19" s="86" t="s">
        <v>35</v>
      </c>
    </row>
    <row r="20">
      <c r="A20" s="27" t="s">
        <v>59</v>
      </c>
      <c r="B20" s="20">
        <v>1516.0</v>
      </c>
      <c r="C20" s="106">
        <v>46115.0</v>
      </c>
      <c r="D20" s="74" t="s">
        <v>79</v>
      </c>
      <c r="E20" s="60">
        <v>0.05</v>
      </c>
      <c r="F20" s="58">
        <f>E18*E20</f>
        <v>524.4965</v>
      </c>
      <c r="G20" s="45"/>
      <c r="M20" s="47"/>
      <c r="N20" s="86">
        <v>535.0</v>
      </c>
      <c r="O20" s="86" t="s">
        <v>290</v>
      </c>
    </row>
    <row r="21">
      <c r="A21" s="27" t="s">
        <v>61</v>
      </c>
      <c r="B21" s="20">
        <v>1683.0</v>
      </c>
      <c r="C21" s="106">
        <v>46115.0</v>
      </c>
      <c r="D21" s="74" t="s">
        <v>87</v>
      </c>
      <c r="E21" s="60">
        <v>0.2</v>
      </c>
      <c r="F21" s="58">
        <f>E18*E21</f>
        <v>2097.986</v>
      </c>
      <c r="G21" s="45"/>
      <c r="M21" s="47"/>
    </row>
    <row r="22">
      <c r="A22" s="25"/>
      <c r="B22" s="26"/>
      <c r="D22" s="56" t="s">
        <v>63</v>
      </c>
      <c r="E22" s="57">
        <v>0.1</v>
      </c>
      <c r="F22" s="58">
        <f>E18*E22</f>
        <v>1048.993</v>
      </c>
      <c r="G22" s="45"/>
      <c r="M22" s="47"/>
    </row>
    <row r="23">
      <c r="A23" s="25"/>
      <c r="B23" s="26"/>
      <c r="C23" s="50"/>
      <c r="D23" s="56" t="s">
        <v>64</v>
      </c>
      <c r="E23" s="60">
        <v>0.1</v>
      </c>
      <c r="F23" s="58">
        <f>E18*E23</f>
        <v>1048.993</v>
      </c>
      <c r="G23" s="45"/>
      <c r="M23" s="47"/>
    </row>
    <row r="24">
      <c r="A24" s="25"/>
      <c r="B24" s="26"/>
      <c r="C24" s="50"/>
      <c r="D24" s="62" t="s">
        <v>65</v>
      </c>
      <c r="E24" s="47"/>
      <c r="F24" s="63">
        <f>SUM(F19:F23)</f>
        <v>10489.93</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14262.73</v>
      </c>
      <c r="C27" s="11"/>
      <c r="D27" s="11"/>
      <c r="E27" s="11"/>
      <c r="F27" s="11"/>
      <c r="G27" s="45"/>
      <c r="H27" s="17"/>
      <c r="I27" s="17"/>
      <c r="J27" s="17"/>
      <c r="K27" s="17"/>
      <c r="L27" s="17"/>
      <c r="M27" s="18"/>
    </row>
    <row r="31">
      <c r="A31" s="91" t="s">
        <v>132</v>
      </c>
      <c r="B31" s="92">
        <f>SUM(B17:B26)</f>
        <v>12759</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s>
  <sheetData>
    <row r="1">
      <c r="A1" s="7" t="s">
        <v>23</v>
      </c>
      <c r="B1" s="8">
        <f>F19</f>
        <v>5775</v>
      </c>
      <c r="C1" s="7" t="s">
        <v>23</v>
      </c>
      <c r="D1" s="8">
        <f>F20</f>
        <v>525</v>
      </c>
      <c r="E1" s="7" t="s">
        <v>23</v>
      </c>
      <c r="F1" s="8">
        <f>F21</f>
        <v>2100</v>
      </c>
      <c r="G1" s="7" t="s">
        <v>23</v>
      </c>
      <c r="H1" s="8">
        <f>F22</f>
        <v>1050</v>
      </c>
      <c r="I1" s="7" t="s">
        <v>23</v>
      </c>
      <c r="J1" s="8">
        <f>F23</f>
        <v>1050</v>
      </c>
      <c r="K1" s="9" t="s">
        <v>24</v>
      </c>
      <c r="L1" s="10">
        <f t="shared" ref="L1:L2" si="1">SUM(B1,D1,F1,H1,J1)</f>
        <v>10500</v>
      </c>
      <c r="M1" s="11"/>
    </row>
    <row r="2">
      <c r="A2" s="12" t="s">
        <v>25</v>
      </c>
      <c r="B2" s="13">
        <f>B1-B27</f>
        <v>-7530.14</v>
      </c>
      <c r="C2" s="12" t="s">
        <v>25</v>
      </c>
      <c r="D2" s="13">
        <f>D1-D15</f>
        <v>331.05</v>
      </c>
      <c r="E2" s="12" t="s">
        <v>25</v>
      </c>
      <c r="F2" s="13">
        <f>F1-F15</f>
        <v>1647</v>
      </c>
      <c r="G2" s="12" t="s">
        <v>25</v>
      </c>
      <c r="H2" s="13">
        <f>H1-H15</f>
        <v>1050</v>
      </c>
      <c r="I2" s="12" t="s">
        <v>25</v>
      </c>
      <c r="J2" s="13">
        <f>J1-J15</f>
        <v>1050</v>
      </c>
      <c r="K2" s="14" t="s">
        <v>26</v>
      </c>
      <c r="L2" s="15">
        <f t="shared" si="1"/>
        <v>-3452.09</v>
      </c>
      <c r="M2" s="11"/>
    </row>
    <row r="3">
      <c r="A3" s="16" t="s">
        <v>27</v>
      </c>
      <c r="B3" s="17"/>
      <c r="C3" s="71" t="s">
        <v>77</v>
      </c>
      <c r="D3" s="18"/>
      <c r="E3" s="71" t="s">
        <v>80</v>
      </c>
      <c r="F3" s="18"/>
      <c r="G3" s="16" t="s">
        <v>30</v>
      </c>
      <c r="H3" s="18"/>
      <c r="I3" s="16" t="s">
        <v>31</v>
      </c>
      <c r="J3" s="18"/>
      <c r="M3" s="11"/>
    </row>
    <row r="4">
      <c r="A4" s="27" t="s">
        <v>32</v>
      </c>
      <c r="B4" s="20">
        <v>127.0</v>
      </c>
      <c r="C4" s="27" t="s">
        <v>34</v>
      </c>
      <c r="D4" s="20">
        <v>18.0</v>
      </c>
      <c r="E4" s="27" t="s">
        <v>99</v>
      </c>
      <c r="F4" s="20">
        <v>170.0</v>
      </c>
      <c r="G4" s="21"/>
      <c r="H4" s="22"/>
      <c r="I4" s="25"/>
      <c r="J4" s="26"/>
      <c r="K4" s="11"/>
      <c r="L4" s="35"/>
      <c r="M4" s="11"/>
    </row>
    <row r="5">
      <c r="A5" s="27" t="s">
        <v>35</v>
      </c>
      <c r="B5" s="20">
        <v>100.0</v>
      </c>
      <c r="C5" s="27" t="s">
        <v>36</v>
      </c>
      <c r="D5" s="20">
        <v>18.65</v>
      </c>
      <c r="E5" s="27" t="s">
        <v>320</v>
      </c>
      <c r="F5" s="20">
        <v>283.0</v>
      </c>
      <c r="G5" s="25"/>
      <c r="H5" s="26"/>
      <c r="I5" s="25"/>
      <c r="J5" s="26"/>
      <c r="K5" s="11"/>
      <c r="L5" s="11"/>
      <c r="M5" s="11"/>
    </row>
    <row r="6">
      <c r="A6" s="21" t="s">
        <v>37</v>
      </c>
      <c r="B6" s="23">
        <v>139.64</v>
      </c>
      <c r="C6" s="27" t="s">
        <v>100</v>
      </c>
      <c r="D6" s="20">
        <v>55.9</v>
      </c>
      <c r="E6" s="21"/>
      <c r="F6" s="23"/>
      <c r="G6" s="25"/>
      <c r="H6" s="26"/>
      <c r="I6" s="25"/>
      <c r="J6" s="26"/>
      <c r="K6" s="11"/>
      <c r="L6" s="28"/>
      <c r="M6" s="11"/>
    </row>
    <row r="7">
      <c r="A7" s="27" t="s">
        <v>91</v>
      </c>
      <c r="B7" s="20">
        <v>239.0</v>
      </c>
      <c r="C7" s="27" t="s">
        <v>40</v>
      </c>
      <c r="D7" s="20">
        <v>19.9</v>
      </c>
      <c r="E7" s="25"/>
      <c r="F7" s="26"/>
      <c r="G7" s="25"/>
      <c r="H7" s="26"/>
      <c r="I7" s="25"/>
      <c r="J7" s="26"/>
      <c r="K7" s="11"/>
      <c r="L7" s="66">
        <v>4864.0</v>
      </c>
      <c r="M7" s="66">
        <v>4864.0</v>
      </c>
    </row>
    <row r="8">
      <c r="A8" s="27" t="s">
        <v>92</v>
      </c>
      <c r="B8" s="20">
        <v>239.0</v>
      </c>
      <c r="C8" s="27" t="s">
        <v>44</v>
      </c>
      <c r="D8" s="20">
        <v>11.6</v>
      </c>
      <c r="E8" s="31"/>
      <c r="F8" s="26"/>
      <c r="G8" s="25"/>
      <c r="H8" s="26"/>
      <c r="I8" s="25"/>
      <c r="J8" s="26"/>
      <c r="K8" s="28"/>
      <c r="L8" s="66">
        <v>5367.0</v>
      </c>
      <c r="M8" s="35">
        <v>6205.0</v>
      </c>
    </row>
    <row r="9">
      <c r="A9" s="21" t="s">
        <v>43</v>
      </c>
      <c r="B9" s="23">
        <v>352.5</v>
      </c>
      <c r="C9" s="27" t="s">
        <v>101</v>
      </c>
      <c r="D9" s="20">
        <v>0.0</v>
      </c>
      <c r="E9" s="31"/>
      <c r="F9" s="26"/>
      <c r="G9" s="25"/>
      <c r="H9" s="26"/>
      <c r="I9" s="25"/>
      <c r="J9" s="26"/>
      <c r="K9" s="11"/>
      <c r="L9" s="66"/>
      <c r="M9" s="11"/>
      <c r="O9" s="81">
        <v>357.0</v>
      </c>
    </row>
    <row r="10">
      <c r="A10" s="73" t="s">
        <v>102</v>
      </c>
      <c r="B10" s="20">
        <v>295.0</v>
      </c>
      <c r="C10" s="25" t="s">
        <v>283</v>
      </c>
      <c r="D10" s="26">
        <v>45.0</v>
      </c>
      <c r="E10" s="25"/>
      <c r="F10" s="26"/>
      <c r="G10" s="25"/>
      <c r="H10" s="26"/>
      <c r="I10" s="25"/>
      <c r="J10" s="26"/>
      <c r="K10" s="11"/>
      <c r="O10" s="86">
        <v>104.0</v>
      </c>
    </row>
    <row r="11">
      <c r="A11" s="21" t="s">
        <v>104</v>
      </c>
      <c r="B11" s="23">
        <v>74.0</v>
      </c>
      <c r="C11" s="27" t="s">
        <v>129</v>
      </c>
      <c r="D11" s="20">
        <v>24.9</v>
      </c>
      <c r="E11" s="31"/>
      <c r="F11" s="26"/>
      <c r="G11" s="31"/>
      <c r="H11" s="26"/>
      <c r="I11" s="25"/>
      <c r="J11" s="26"/>
      <c r="K11" s="11"/>
      <c r="L11" s="66"/>
      <c r="M11" s="11"/>
    </row>
    <row r="12">
      <c r="A12" s="32"/>
      <c r="B12" s="33"/>
      <c r="C12" s="21"/>
      <c r="D12" s="23"/>
      <c r="E12" s="31"/>
      <c r="F12" s="26"/>
      <c r="G12" s="31"/>
      <c r="H12" s="26"/>
      <c r="I12" s="31"/>
      <c r="J12" s="26"/>
      <c r="K12" s="11"/>
      <c r="L12" s="28">
        <f>SUM(L7:L11)</f>
        <v>10231</v>
      </c>
      <c r="M12" s="11"/>
    </row>
    <row r="13">
      <c r="A13" s="31"/>
      <c r="B13" s="23"/>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1566.14</v>
      </c>
      <c r="C15" s="25" t="s">
        <v>50</v>
      </c>
      <c r="D15" s="26">
        <f>SUM(D4:D14)</f>
        <v>193.95</v>
      </c>
      <c r="E15" s="39" t="s">
        <v>50</v>
      </c>
      <c r="F15" s="40">
        <f>SUM(F4:F14)</f>
        <v>453</v>
      </c>
      <c r="G15" s="39" t="s">
        <v>50</v>
      </c>
      <c r="H15" s="40">
        <f>SUM(H4:H14)</f>
        <v>0</v>
      </c>
      <c r="I15" s="39" t="s">
        <v>50</v>
      </c>
      <c r="J15" s="40">
        <f>SUM(J4:J14)</f>
        <v>0</v>
      </c>
      <c r="K15" s="11"/>
      <c r="L15" s="11"/>
      <c r="M15" s="11"/>
    </row>
    <row r="16">
      <c r="A16" s="41" t="s">
        <v>51</v>
      </c>
      <c r="B16" s="17"/>
      <c r="C16" s="102" t="s">
        <v>286</v>
      </c>
      <c r="D16" s="42"/>
      <c r="E16" s="42"/>
      <c r="F16" s="42"/>
      <c r="G16" s="11"/>
      <c r="H16" s="42"/>
      <c r="I16" s="42"/>
      <c r="J16" s="42"/>
      <c r="K16" s="42"/>
      <c r="L16" s="42"/>
      <c r="M16" s="42"/>
    </row>
    <row r="17">
      <c r="A17" s="27" t="s">
        <v>52</v>
      </c>
      <c r="B17" s="20">
        <v>1675.0</v>
      </c>
      <c r="C17" s="106">
        <v>46045.0</v>
      </c>
      <c r="D17" s="44" t="s">
        <v>53</v>
      </c>
      <c r="E17" s="17"/>
      <c r="F17" s="18"/>
      <c r="G17" s="45"/>
      <c r="H17" s="131" t="s">
        <v>346</v>
      </c>
      <c r="M17" s="47"/>
      <c r="N17" s="86">
        <v>235.0</v>
      </c>
      <c r="O17" s="86" t="s">
        <v>288</v>
      </c>
    </row>
    <row r="18">
      <c r="A18" s="27" t="s">
        <v>55</v>
      </c>
      <c r="B18" s="20">
        <v>1754.0</v>
      </c>
      <c r="C18" s="106">
        <v>46115.0</v>
      </c>
      <c r="D18" s="51" t="s">
        <v>56</v>
      </c>
      <c r="E18" s="52">
        <v>10500.0</v>
      </c>
      <c r="F18" s="18"/>
      <c r="G18" s="45"/>
      <c r="M18" s="47"/>
      <c r="N18" s="86">
        <v>205.0</v>
      </c>
      <c r="O18" s="86" t="s">
        <v>289</v>
      </c>
    </row>
    <row r="19">
      <c r="A19" s="27" t="s">
        <v>57</v>
      </c>
      <c r="B19" s="20">
        <v>5670.0</v>
      </c>
      <c r="C19" s="106">
        <v>46115.0</v>
      </c>
      <c r="D19" s="56" t="s">
        <v>58</v>
      </c>
      <c r="E19" s="107">
        <v>0.55</v>
      </c>
      <c r="F19" s="58">
        <f>E18*E19</f>
        <v>5775</v>
      </c>
      <c r="G19" s="45"/>
      <c r="M19" s="47"/>
      <c r="N19" s="86">
        <v>100.0</v>
      </c>
      <c r="O19" s="86" t="s">
        <v>35</v>
      </c>
    </row>
    <row r="20">
      <c r="A20" s="27" t="s">
        <v>59</v>
      </c>
      <c r="B20" s="20">
        <v>858.0</v>
      </c>
      <c r="C20" s="106">
        <v>46115.0</v>
      </c>
      <c r="D20" s="74" t="s">
        <v>79</v>
      </c>
      <c r="E20" s="60">
        <v>0.05</v>
      </c>
      <c r="F20" s="58">
        <f>E18*E20</f>
        <v>525</v>
      </c>
      <c r="G20" s="45"/>
      <c r="M20" s="47"/>
      <c r="N20" s="86">
        <v>535.0</v>
      </c>
      <c r="O20" s="86" t="s">
        <v>290</v>
      </c>
    </row>
    <row r="21">
      <c r="A21" s="27" t="s">
        <v>61</v>
      </c>
      <c r="B21" s="20">
        <v>1782.0</v>
      </c>
      <c r="C21" s="106">
        <v>46071.0</v>
      </c>
      <c r="D21" s="74" t="s">
        <v>87</v>
      </c>
      <c r="E21" s="60">
        <v>0.2</v>
      </c>
      <c r="F21" s="58">
        <f>E18*E21</f>
        <v>2100</v>
      </c>
      <c r="G21" s="45"/>
      <c r="M21" s="47"/>
    </row>
    <row r="22">
      <c r="A22" s="25"/>
      <c r="B22" s="26"/>
      <c r="C22" s="50"/>
      <c r="D22" s="56" t="s">
        <v>63</v>
      </c>
      <c r="E22" s="57">
        <v>0.1</v>
      </c>
      <c r="F22" s="58">
        <f>E18*E22</f>
        <v>1050</v>
      </c>
      <c r="G22" s="45"/>
      <c r="M22" s="47"/>
    </row>
    <row r="23">
      <c r="A23" s="25"/>
      <c r="B23" s="26"/>
      <c r="C23" s="50"/>
      <c r="D23" s="56" t="s">
        <v>64</v>
      </c>
      <c r="E23" s="60">
        <v>0.1</v>
      </c>
      <c r="F23" s="58">
        <f>E18*E23</f>
        <v>1050</v>
      </c>
      <c r="G23" s="45"/>
      <c r="M23" s="47"/>
    </row>
    <row r="24">
      <c r="A24" s="25"/>
      <c r="B24" s="26"/>
      <c r="C24" s="50"/>
      <c r="D24" s="62" t="s">
        <v>65</v>
      </c>
      <c r="E24" s="47"/>
      <c r="F24" s="63">
        <f>SUM(F19:F23)</f>
        <v>10500</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13305.14</v>
      </c>
      <c r="C27" s="11"/>
      <c r="D27" s="11"/>
      <c r="E27" s="11"/>
      <c r="F27" s="11"/>
      <c r="G27" s="45"/>
      <c r="H27" s="17"/>
      <c r="I27" s="17"/>
      <c r="J27" s="17"/>
      <c r="K27" s="17"/>
      <c r="L27" s="17"/>
      <c r="M27" s="18"/>
    </row>
    <row r="31">
      <c r="A31" s="91" t="s">
        <v>132</v>
      </c>
      <c r="B31" s="92">
        <f>SUM(B17:B26)</f>
        <v>11739</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s>
  <sheetData>
    <row r="1">
      <c r="A1" s="7" t="s">
        <v>23</v>
      </c>
      <c r="B1" s="8">
        <f>F19</f>
        <v>6518.05</v>
      </c>
      <c r="C1" s="7" t="s">
        <v>23</v>
      </c>
      <c r="D1" s="8">
        <f>F20</f>
        <v>592.55</v>
      </c>
      <c r="E1" s="7" t="s">
        <v>23</v>
      </c>
      <c r="F1" s="8">
        <f>F21</f>
        <v>2370.2</v>
      </c>
      <c r="G1" s="7" t="s">
        <v>23</v>
      </c>
      <c r="H1" s="8">
        <f>F22</f>
        <v>1185.1</v>
      </c>
      <c r="I1" s="7" t="s">
        <v>23</v>
      </c>
      <c r="J1" s="8">
        <f>F23</f>
        <v>1185.1</v>
      </c>
      <c r="K1" s="9" t="s">
        <v>24</v>
      </c>
      <c r="L1" s="10">
        <f t="shared" ref="L1:L2" si="1">SUM(B1,D1,F1,H1,J1)</f>
        <v>11851</v>
      </c>
      <c r="M1" s="11"/>
    </row>
    <row r="2">
      <c r="A2" s="12" t="s">
        <v>25</v>
      </c>
      <c r="B2" s="13">
        <f>B1-B27</f>
        <v>-5065.71</v>
      </c>
      <c r="C2" s="12" t="s">
        <v>25</v>
      </c>
      <c r="D2" s="13">
        <f>D1-D15</f>
        <v>395.5</v>
      </c>
      <c r="E2" s="12" t="s">
        <v>25</v>
      </c>
      <c r="F2" s="13">
        <f>F1-F15</f>
        <v>1577.2</v>
      </c>
      <c r="G2" s="12" t="s">
        <v>25</v>
      </c>
      <c r="H2" s="13">
        <f>H1-H15</f>
        <v>1185.1</v>
      </c>
      <c r="I2" s="12" t="s">
        <v>25</v>
      </c>
      <c r="J2" s="13">
        <f>J1-J15</f>
        <v>1185.1</v>
      </c>
      <c r="K2" s="14" t="s">
        <v>26</v>
      </c>
      <c r="L2" s="15">
        <f t="shared" si="1"/>
        <v>-722.81</v>
      </c>
      <c r="M2" s="11"/>
    </row>
    <row r="3">
      <c r="A3" s="16" t="s">
        <v>27</v>
      </c>
      <c r="B3" s="17"/>
      <c r="C3" s="71" t="s">
        <v>77</v>
      </c>
      <c r="D3" s="18"/>
      <c r="E3" s="71" t="s">
        <v>80</v>
      </c>
      <c r="F3" s="18"/>
      <c r="G3" s="16" t="s">
        <v>30</v>
      </c>
      <c r="H3" s="18"/>
      <c r="I3" s="16" t="s">
        <v>31</v>
      </c>
      <c r="J3" s="18"/>
      <c r="M3" s="11"/>
    </row>
    <row r="4">
      <c r="A4" s="27" t="s">
        <v>32</v>
      </c>
      <c r="B4" s="20">
        <v>127.0</v>
      </c>
      <c r="C4" s="27" t="s">
        <v>34</v>
      </c>
      <c r="D4" s="20">
        <v>18.0</v>
      </c>
      <c r="E4" s="27" t="s">
        <v>99</v>
      </c>
      <c r="F4" s="20">
        <v>510.0</v>
      </c>
      <c r="G4" s="21"/>
      <c r="H4" s="22"/>
      <c r="I4" s="25"/>
      <c r="J4" s="26"/>
      <c r="K4" s="11"/>
      <c r="L4" s="35"/>
      <c r="M4" s="11"/>
    </row>
    <row r="5">
      <c r="A5" s="27" t="s">
        <v>35</v>
      </c>
      <c r="B5" s="20">
        <v>100.0</v>
      </c>
      <c r="C5" s="27" t="s">
        <v>36</v>
      </c>
      <c r="D5" s="20">
        <v>18.65</v>
      </c>
      <c r="E5" s="27" t="s">
        <v>320</v>
      </c>
      <c r="F5" s="20">
        <v>283.0</v>
      </c>
      <c r="G5" s="25"/>
      <c r="H5" s="26"/>
      <c r="I5" s="25"/>
      <c r="J5" s="26"/>
      <c r="K5" s="11"/>
      <c r="L5" s="11"/>
      <c r="M5" s="11"/>
    </row>
    <row r="6">
      <c r="A6" s="21" t="s">
        <v>37</v>
      </c>
      <c r="B6" s="23">
        <v>139.64</v>
      </c>
      <c r="C6" s="27" t="s">
        <v>100</v>
      </c>
      <c r="D6" s="20">
        <v>59.0</v>
      </c>
      <c r="E6" s="21"/>
      <c r="F6" s="23"/>
      <c r="G6" s="25"/>
      <c r="H6" s="26"/>
      <c r="I6" s="25"/>
      <c r="J6" s="26"/>
      <c r="K6" s="11"/>
      <c r="L6" s="28"/>
      <c r="M6" s="11"/>
    </row>
    <row r="7">
      <c r="A7" s="27" t="s">
        <v>91</v>
      </c>
      <c r="B7" s="20">
        <v>239.0</v>
      </c>
      <c r="C7" s="27" t="s">
        <v>40</v>
      </c>
      <c r="D7" s="20">
        <v>19.9</v>
      </c>
      <c r="E7" s="25"/>
      <c r="F7" s="26"/>
      <c r="G7" s="25"/>
      <c r="H7" s="26"/>
      <c r="I7" s="25"/>
      <c r="J7" s="26"/>
      <c r="K7" s="11"/>
      <c r="L7" s="66">
        <v>4864.0</v>
      </c>
      <c r="M7" s="66">
        <v>4864.0</v>
      </c>
    </row>
    <row r="8">
      <c r="A8" s="27" t="s">
        <v>92</v>
      </c>
      <c r="B8" s="20">
        <v>239.0</v>
      </c>
      <c r="C8" s="27" t="s">
        <v>44</v>
      </c>
      <c r="D8" s="20">
        <v>11.6</v>
      </c>
      <c r="E8" s="31"/>
      <c r="F8" s="26"/>
      <c r="G8" s="25"/>
      <c r="H8" s="26"/>
      <c r="I8" s="25"/>
      <c r="J8" s="26"/>
      <c r="K8" s="28"/>
      <c r="L8" s="66">
        <v>5367.0</v>
      </c>
      <c r="M8" s="35">
        <v>6205.0</v>
      </c>
    </row>
    <row r="9">
      <c r="A9" s="27" t="s">
        <v>43</v>
      </c>
      <c r="B9" s="20">
        <v>352.5</v>
      </c>
      <c r="C9" s="27" t="s">
        <v>101</v>
      </c>
      <c r="D9" s="20">
        <v>0.0</v>
      </c>
      <c r="E9" s="31"/>
      <c r="F9" s="26"/>
      <c r="G9" s="25"/>
      <c r="H9" s="26"/>
      <c r="I9" s="25"/>
      <c r="J9" s="26"/>
      <c r="K9" s="11"/>
      <c r="L9" s="66"/>
      <c r="M9" s="11"/>
    </row>
    <row r="10">
      <c r="A10" s="73" t="s">
        <v>102</v>
      </c>
      <c r="B10" s="20">
        <v>295.0</v>
      </c>
      <c r="C10" s="25" t="s">
        <v>283</v>
      </c>
      <c r="D10" s="26">
        <v>45.0</v>
      </c>
      <c r="E10" s="25"/>
      <c r="F10" s="26"/>
      <c r="G10" s="25"/>
      <c r="H10" s="26"/>
      <c r="I10" s="25"/>
      <c r="J10" s="26"/>
      <c r="K10" s="11"/>
      <c r="O10" s="81">
        <v>297.0</v>
      </c>
    </row>
    <row r="11">
      <c r="A11" s="21"/>
      <c r="B11" s="23"/>
      <c r="C11" s="27" t="s">
        <v>129</v>
      </c>
      <c r="D11" s="20">
        <v>24.9</v>
      </c>
      <c r="E11" s="31"/>
      <c r="F11" s="26"/>
      <c r="G11" s="31"/>
      <c r="H11" s="26"/>
      <c r="I11" s="25"/>
      <c r="J11" s="26"/>
      <c r="K11" s="11"/>
      <c r="L11" s="66"/>
      <c r="M11" s="11"/>
    </row>
    <row r="12">
      <c r="A12" s="32"/>
      <c r="B12" s="33"/>
      <c r="C12" s="21"/>
      <c r="D12" s="23"/>
      <c r="E12" s="31"/>
      <c r="F12" s="26"/>
      <c r="G12" s="31"/>
      <c r="H12" s="26"/>
      <c r="I12" s="31"/>
      <c r="J12" s="26"/>
      <c r="K12" s="11"/>
      <c r="L12" s="28">
        <f>SUM(L7:L11)</f>
        <v>10231</v>
      </c>
      <c r="M12" s="11"/>
    </row>
    <row r="13">
      <c r="A13" s="31"/>
      <c r="B13" s="23"/>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1492.14</v>
      </c>
      <c r="C15" s="25" t="s">
        <v>50</v>
      </c>
      <c r="D15" s="26">
        <f>SUM(D4:D14)</f>
        <v>197.05</v>
      </c>
      <c r="E15" s="39" t="s">
        <v>50</v>
      </c>
      <c r="F15" s="40">
        <f>SUM(F4:F14)</f>
        <v>793</v>
      </c>
      <c r="G15" s="39" t="s">
        <v>50</v>
      </c>
      <c r="H15" s="40">
        <f>SUM(H4:H14)</f>
        <v>0</v>
      </c>
      <c r="I15" s="39" t="s">
        <v>50</v>
      </c>
      <c r="J15" s="40">
        <f>SUM(J4:J14)</f>
        <v>0</v>
      </c>
      <c r="K15" s="11"/>
      <c r="L15" s="11"/>
      <c r="M15" s="11"/>
    </row>
    <row r="16">
      <c r="A16" s="41" t="s">
        <v>51</v>
      </c>
      <c r="B16" s="17"/>
      <c r="C16" s="102" t="s">
        <v>286</v>
      </c>
      <c r="D16" s="42"/>
      <c r="E16" s="42"/>
      <c r="F16" s="42"/>
      <c r="G16" s="11"/>
      <c r="H16" s="42"/>
      <c r="I16" s="42"/>
      <c r="J16" s="42"/>
      <c r="K16" s="42"/>
      <c r="L16" s="42"/>
      <c r="M16" s="42"/>
    </row>
    <row r="17">
      <c r="A17" s="27" t="s">
        <v>52</v>
      </c>
      <c r="B17" s="20">
        <v>3219.0</v>
      </c>
      <c r="C17" s="106">
        <v>46144.0</v>
      </c>
      <c r="D17" s="44" t="s">
        <v>53</v>
      </c>
      <c r="E17" s="17"/>
      <c r="F17" s="18"/>
      <c r="G17" s="45"/>
      <c r="H17" s="46" t="s">
        <v>347</v>
      </c>
      <c r="M17" s="47"/>
      <c r="N17" s="86">
        <v>235.0</v>
      </c>
      <c r="O17" s="86" t="s">
        <v>288</v>
      </c>
    </row>
    <row r="18">
      <c r="A18" s="27" t="s">
        <v>55</v>
      </c>
      <c r="B18" s="20">
        <v>2321.0</v>
      </c>
      <c r="C18" s="106">
        <v>46162.0</v>
      </c>
      <c r="D18" s="51" t="s">
        <v>56</v>
      </c>
      <c r="E18" s="52">
        <v>11851.0</v>
      </c>
      <c r="F18" s="18"/>
      <c r="G18" s="45"/>
      <c r="M18" s="47"/>
      <c r="N18" s="86">
        <v>205.0</v>
      </c>
      <c r="O18" s="86" t="s">
        <v>289</v>
      </c>
    </row>
    <row r="19">
      <c r="A19" s="27" t="s">
        <v>57</v>
      </c>
      <c r="B19" s="20">
        <v>300.0</v>
      </c>
      <c r="C19" s="106">
        <v>46162.0</v>
      </c>
      <c r="D19" s="56" t="s">
        <v>58</v>
      </c>
      <c r="E19" s="107">
        <v>0.55</v>
      </c>
      <c r="F19" s="58">
        <f>E18*E19</f>
        <v>6518.05</v>
      </c>
      <c r="G19" s="45"/>
      <c r="M19" s="47"/>
      <c r="N19" s="86">
        <v>100.0</v>
      </c>
      <c r="O19" s="86" t="s">
        <v>35</v>
      </c>
    </row>
    <row r="20">
      <c r="A20" s="27" t="s">
        <v>59</v>
      </c>
      <c r="B20" s="20">
        <v>1841.62</v>
      </c>
      <c r="C20" s="106">
        <v>46162.0</v>
      </c>
      <c r="D20" s="74" t="s">
        <v>79</v>
      </c>
      <c r="E20" s="60">
        <v>0.05</v>
      </c>
      <c r="F20" s="58">
        <f>E18*E20</f>
        <v>592.55</v>
      </c>
      <c r="G20" s="45"/>
      <c r="M20" s="47"/>
      <c r="N20" s="86">
        <v>535.0</v>
      </c>
      <c r="O20" s="86" t="s">
        <v>290</v>
      </c>
    </row>
    <row r="21">
      <c r="A21" s="27" t="s">
        <v>61</v>
      </c>
      <c r="B21" s="20">
        <v>2410.0</v>
      </c>
      <c r="C21" s="106">
        <v>46162.0</v>
      </c>
      <c r="D21" s="74" t="s">
        <v>87</v>
      </c>
      <c r="E21" s="60">
        <v>0.2</v>
      </c>
      <c r="F21" s="58">
        <f>E18*E21</f>
        <v>2370.2</v>
      </c>
      <c r="G21" s="45"/>
      <c r="M21" s="47"/>
    </row>
    <row r="22">
      <c r="A22" s="25"/>
      <c r="B22" s="26"/>
      <c r="C22" s="50"/>
      <c r="D22" s="56" t="s">
        <v>63</v>
      </c>
      <c r="E22" s="57">
        <v>0.1</v>
      </c>
      <c r="F22" s="58">
        <f>E18*E22</f>
        <v>1185.1</v>
      </c>
      <c r="G22" s="45"/>
      <c r="M22" s="47"/>
    </row>
    <row r="23">
      <c r="A23" s="25"/>
      <c r="B23" s="26"/>
      <c r="C23" s="50"/>
      <c r="D23" s="56" t="s">
        <v>64</v>
      </c>
      <c r="E23" s="60">
        <v>0.1</v>
      </c>
      <c r="F23" s="58">
        <f>E18*E23</f>
        <v>1185.1</v>
      </c>
      <c r="G23" s="45"/>
      <c r="M23" s="47"/>
    </row>
    <row r="24">
      <c r="A24" s="25"/>
      <c r="B24" s="26"/>
      <c r="C24" s="50"/>
      <c r="D24" s="62" t="s">
        <v>65</v>
      </c>
      <c r="E24" s="47"/>
      <c r="F24" s="63">
        <f>SUM(F19:F23)</f>
        <v>11851</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11583.76</v>
      </c>
      <c r="C27" s="11"/>
      <c r="D27" s="11"/>
      <c r="E27" s="11"/>
      <c r="F27" s="11"/>
      <c r="G27" s="45"/>
      <c r="H27" s="17"/>
      <c r="I27" s="17"/>
      <c r="J27" s="17"/>
      <c r="K27" s="17"/>
      <c r="L27" s="17"/>
      <c r="M27" s="18"/>
    </row>
    <row r="31">
      <c r="A31" s="91" t="s">
        <v>132</v>
      </c>
      <c r="B31" s="92">
        <f>SUM(B17:B26)</f>
        <v>10091.62</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s>
  <sheetData>
    <row r="1">
      <c r="A1" s="7" t="s">
        <v>23</v>
      </c>
      <c r="B1" s="8">
        <f>F19</f>
        <v>10175</v>
      </c>
      <c r="C1" s="7" t="s">
        <v>23</v>
      </c>
      <c r="D1" s="8">
        <f>F20</f>
        <v>925</v>
      </c>
      <c r="E1" s="7" t="s">
        <v>23</v>
      </c>
      <c r="F1" s="8">
        <f>F21</f>
        <v>3700</v>
      </c>
      <c r="G1" s="7" t="s">
        <v>23</v>
      </c>
      <c r="H1" s="8">
        <f>F22</f>
        <v>1850</v>
      </c>
      <c r="I1" s="7" t="s">
        <v>23</v>
      </c>
      <c r="J1" s="8">
        <f>F23</f>
        <v>1850</v>
      </c>
      <c r="K1" s="9" t="s">
        <v>24</v>
      </c>
      <c r="L1" s="10">
        <f t="shared" ref="L1:L2" si="1">SUM(B1,D1,F1,H1,J1)</f>
        <v>18500</v>
      </c>
      <c r="M1" s="11"/>
    </row>
    <row r="2">
      <c r="A2" s="12" t="s">
        <v>25</v>
      </c>
      <c r="B2" s="13">
        <f>B1-B27</f>
        <v>-2947.11</v>
      </c>
      <c r="C2" s="12" t="s">
        <v>25</v>
      </c>
      <c r="D2" s="13">
        <f>D1-D15</f>
        <v>660.15</v>
      </c>
      <c r="E2" s="12" t="s">
        <v>25</v>
      </c>
      <c r="F2" s="13">
        <f>F1-F15</f>
        <v>3117</v>
      </c>
      <c r="G2" s="12" t="s">
        <v>25</v>
      </c>
      <c r="H2" s="13">
        <f>H1-H15</f>
        <v>1850</v>
      </c>
      <c r="I2" s="12" t="s">
        <v>25</v>
      </c>
      <c r="J2" s="13">
        <f>J1-J15</f>
        <v>1850</v>
      </c>
      <c r="K2" s="14" t="s">
        <v>26</v>
      </c>
      <c r="L2" s="15">
        <f t="shared" si="1"/>
        <v>4530.04</v>
      </c>
      <c r="M2" s="11"/>
    </row>
    <row r="3">
      <c r="A3" s="16" t="s">
        <v>27</v>
      </c>
      <c r="B3" s="17"/>
      <c r="C3" s="71" t="s">
        <v>77</v>
      </c>
      <c r="D3" s="18"/>
      <c r="E3" s="71" t="s">
        <v>80</v>
      </c>
      <c r="F3" s="18"/>
      <c r="G3" s="16" t="s">
        <v>30</v>
      </c>
      <c r="H3" s="18"/>
      <c r="I3" s="16" t="s">
        <v>31</v>
      </c>
      <c r="J3" s="18"/>
      <c r="M3" s="11"/>
    </row>
    <row r="4">
      <c r="A4" s="21" t="s">
        <v>32</v>
      </c>
      <c r="B4" s="23">
        <v>127.0</v>
      </c>
      <c r="C4" s="21" t="s">
        <v>34</v>
      </c>
      <c r="D4" s="23">
        <v>18.0</v>
      </c>
      <c r="E4" s="21" t="s">
        <v>99</v>
      </c>
      <c r="F4" s="23">
        <v>300.0</v>
      </c>
      <c r="G4" s="21"/>
      <c r="H4" s="22"/>
      <c r="I4" s="25"/>
      <c r="J4" s="26"/>
      <c r="K4" s="11"/>
      <c r="L4" s="35"/>
      <c r="M4" s="11"/>
      <c r="P4" s="21" t="s">
        <v>348</v>
      </c>
      <c r="Q4" s="23">
        <v>5000.0</v>
      </c>
    </row>
    <row r="5">
      <c r="A5" s="111" t="s">
        <v>35</v>
      </c>
      <c r="B5" s="112">
        <v>100.0</v>
      </c>
      <c r="C5" s="21" t="s">
        <v>36</v>
      </c>
      <c r="D5" s="23">
        <v>18.65</v>
      </c>
      <c r="E5" s="21" t="s">
        <v>320</v>
      </c>
      <c r="F5" s="23">
        <v>283.0</v>
      </c>
      <c r="G5" s="25"/>
      <c r="H5" s="26"/>
      <c r="I5" s="25"/>
      <c r="J5" s="26"/>
      <c r="K5" s="11"/>
      <c r="L5" s="11"/>
      <c r="M5" s="11"/>
      <c r="N5" s="86">
        <v>6437.0</v>
      </c>
      <c r="O5" s="86" t="s">
        <v>349</v>
      </c>
      <c r="P5" s="21" t="s">
        <v>350</v>
      </c>
      <c r="Q5" s="23">
        <v>2200.0</v>
      </c>
    </row>
    <row r="6">
      <c r="A6" s="21" t="s">
        <v>37</v>
      </c>
      <c r="B6" s="23">
        <v>139.64</v>
      </c>
      <c r="C6" s="21" t="s">
        <v>100</v>
      </c>
      <c r="D6" s="23">
        <v>59.9</v>
      </c>
      <c r="E6" s="21"/>
      <c r="F6" s="23"/>
      <c r="G6" s="25"/>
      <c r="H6" s="26"/>
      <c r="I6" s="25"/>
      <c r="J6" s="26"/>
      <c r="K6" s="11"/>
      <c r="L6" s="28"/>
      <c r="M6" s="11"/>
      <c r="N6" s="86">
        <v>4291.9</v>
      </c>
      <c r="O6" s="86" t="s">
        <v>351</v>
      </c>
      <c r="P6" s="21" t="s">
        <v>352</v>
      </c>
      <c r="Q6" s="23">
        <v>2000.0</v>
      </c>
    </row>
    <row r="7">
      <c r="A7" s="21" t="s">
        <v>91</v>
      </c>
      <c r="B7" s="23">
        <v>239.0</v>
      </c>
      <c r="C7" s="21" t="s">
        <v>40</v>
      </c>
      <c r="D7" s="23">
        <v>19.9</v>
      </c>
      <c r="E7" s="21"/>
      <c r="F7" s="23"/>
      <c r="G7" s="25"/>
      <c r="H7" s="26"/>
      <c r="I7" s="25"/>
      <c r="J7" s="26"/>
      <c r="K7" s="11"/>
      <c r="L7" s="66"/>
      <c r="M7" s="66"/>
      <c r="P7" s="21" t="s">
        <v>300</v>
      </c>
      <c r="Q7" s="23">
        <v>2800.0</v>
      </c>
    </row>
    <row r="8">
      <c r="A8" s="21" t="s">
        <v>92</v>
      </c>
      <c r="B8" s="23">
        <v>239.0</v>
      </c>
      <c r="C8" s="21" t="s">
        <v>44</v>
      </c>
      <c r="D8" s="23">
        <v>11.6</v>
      </c>
      <c r="E8" s="21"/>
      <c r="F8" s="23"/>
      <c r="G8" s="25"/>
      <c r="H8" s="26"/>
      <c r="I8" s="25"/>
      <c r="J8" s="26"/>
      <c r="K8" s="28"/>
      <c r="L8" s="66">
        <v>5367.0</v>
      </c>
      <c r="M8" s="35" t="s">
        <v>353</v>
      </c>
    </row>
    <row r="9">
      <c r="A9" s="21" t="s">
        <v>43</v>
      </c>
      <c r="B9" s="23">
        <v>352.5</v>
      </c>
      <c r="C9" s="21" t="s">
        <v>101</v>
      </c>
      <c r="D9" s="23">
        <v>0.0</v>
      </c>
      <c r="E9" s="21"/>
      <c r="F9" s="23"/>
      <c r="G9" s="25"/>
      <c r="H9" s="26"/>
      <c r="I9" s="25"/>
      <c r="J9" s="26"/>
      <c r="K9" s="11"/>
      <c r="L9" s="66"/>
      <c r="M9" s="11"/>
    </row>
    <row r="10">
      <c r="A10" s="76" t="s">
        <v>102</v>
      </c>
      <c r="B10" s="23">
        <v>295.0</v>
      </c>
      <c r="C10" s="21" t="s">
        <v>283</v>
      </c>
      <c r="D10" s="23">
        <v>45.0</v>
      </c>
      <c r="E10" s="31"/>
      <c r="F10" s="26"/>
      <c r="G10" s="25"/>
      <c r="H10" s="26"/>
      <c r="I10" s="25"/>
      <c r="J10" s="26"/>
      <c r="K10" s="11"/>
    </row>
    <row r="11">
      <c r="A11" s="21" t="s">
        <v>104</v>
      </c>
      <c r="B11" s="23"/>
      <c r="C11" s="21" t="s">
        <v>129</v>
      </c>
      <c r="D11" s="23">
        <v>24.9</v>
      </c>
      <c r="E11" s="31"/>
      <c r="F11" s="26"/>
      <c r="G11" s="31"/>
      <c r="H11" s="26"/>
      <c r="I11" s="25"/>
      <c r="J11" s="26"/>
      <c r="K11" s="11"/>
      <c r="L11" s="66"/>
      <c r="M11" s="11"/>
    </row>
    <row r="12">
      <c r="A12" s="76"/>
      <c r="B12" s="33"/>
      <c r="C12" s="21" t="s">
        <v>354</v>
      </c>
      <c r="D12" s="23">
        <v>66.9</v>
      </c>
      <c r="E12" s="31"/>
      <c r="F12" s="26"/>
      <c r="G12" s="31"/>
      <c r="H12" s="26"/>
      <c r="I12" s="31"/>
      <c r="J12" s="26"/>
      <c r="K12" s="11"/>
      <c r="L12" s="28">
        <f>SUM(L7:L11)</f>
        <v>5367</v>
      </c>
      <c r="M12" s="11"/>
    </row>
    <row r="13">
      <c r="A13" s="132"/>
      <c r="B13" s="23"/>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1492.14</v>
      </c>
      <c r="C15" s="25" t="s">
        <v>50</v>
      </c>
      <c r="D15" s="26">
        <f>SUM(D4:D14)</f>
        <v>264.85</v>
      </c>
      <c r="E15" s="39" t="s">
        <v>50</v>
      </c>
      <c r="F15" s="40">
        <f>SUM(F4:F14)</f>
        <v>583</v>
      </c>
      <c r="G15" s="39" t="s">
        <v>50</v>
      </c>
      <c r="H15" s="40">
        <f>SUM(H4:H14)</f>
        <v>0</v>
      </c>
      <c r="I15" s="39" t="s">
        <v>50</v>
      </c>
      <c r="J15" s="40">
        <f>SUM(J4:J14)</f>
        <v>0</v>
      </c>
      <c r="K15" s="11"/>
      <c r="L15" s="11"/>
      <c r="M15" s="11"/>
    </row>
    <row r="16">
      <c r="A16" s="41" t="s">
        <v>51</v>
      </c>
      <c r="B16" s="17"/>
      <c r="C16" s="102" t="s">
        <v>286</v>
      </c>
      <c r="D16" s="42"/>
      <c r="E16" s="42"/>
      <c r="F16" s="42"/>
      <c r="G16" s="11"/>
      <c r="H16" s="42"/>
      <c r="I16" s="42"/>
      <c r="J16" s="42"/>
      <c r="K16" s="42"/>
      <c r="L16" s="42"/>
      <c r="M16" s="42"/>
    </row>
    <row r="17">
      <c r="A17" s="126" t="s">
        <v>52</v>
      </c>
      <c r="B17" s="88">
        <v>2054.86</v>
      </c>
      <c r="C17" s="106">
        <v>46182.0</v>
      </c>
      <c r="D17" s="44" t="s">
        <v>53</v>
      </c>
      <c r="E17" s="17"/>
      <c r="F17" s="18"/>
      <c r="G17" s="45"/>
      <c r="H17" s="79" t="s">
        <v>355</v>
      </c>
      <c r="M17" s="47"/>
      <c r="N17" s="86">
        <v>235.0</v>
      </c>
      <c r="O17" s="86" t="s">
        <v>288</v>
      </c>
    </row>
    <row r="18">
      <c r="A18" s="116" t="s">
        <v>55</v>
      </c>
      <c r="B18" s="117">
        <v>5274.53</v>
      </c>
      <c r="C18" s="106">
        <v>46182.0</v>
      </c>
      <c r="D18" s="51" t="s">
        <v>56</v>
      </c>
      <c r="E18" s="52">
        <v>18500.0</v>
      </c>
      <c r="F18" s="18"/>
      <c r="G18" s="45"/>
      <c r="M18" s="47"/>
      <c r="N18" s="86">
        <v>205.0</v>
      </c>
      <c r="O18" s="86" t="s">
        <v>289</v>
      </c>
    </row>
    <row r="19">
      <c r="A19" s="126" t="s">
        <v>57</v>
      </c>
      <c r="B19" s="88">
        <v>1349.46</v>
      </c>
      <c r="C19" s="106">
        <v>46182.0</v>
      </c>
      <c r="D19" s="56" t="s">
        <v>58</v>
      </c>
      <c r="E19" s="107">
        <v>0.55</v>
      </c>
      <c r="F19" s="58">
        <f>E18*E19</f>
        <v>10175</v>
      </c>
      <c r="G19" s="45"/>
      <c r="M19" s="47"/>
      <c r="N19" s="86">
        <v>100.0</v>
      </c>
      <c r="O19" s="86" t="s">
        <v>35</v>
      </c>
    </row>
    <row r="20">
      <c r="A20" s="133" t="s">
        <v>59</v>
      </c>
      <c r="B20" s="134">
        <v>1160.85</v>
      </c>
      <c r="C20" s="106">
        <v>46182.0</v>
      </c>
      <c r="D20" s="74" t="s">
        <v>79</v>
      </c>
      <c r="E20" s="60">
        <v>0.05</v>
      </c>
      <c r="F20" s="58">
        <f>E18*E20</f>
        <v>925</v>
      </c>
      <c r="G20" s="45"/>
      <c r="M20" s="47"/>
      <c r="N20" s="86">
        <v>535.0</v>
      </c>
      <c r="O20" s="86" t="s">
        <v>290</v>
      </c>
    </row>
    <row r="21">
      <c r="A21" s="21" t="s">
        <v>61</v>
      </c>
      <c r="B21" s="23">
        <v>1790.27</v>
      </c>
      <c r="C21" s="106">
        <v>46182.0</v>
      </c>
      <c r="D21" s="74" t="s">
        <v>87</v>
      </c>
      <c r="E21" s="60">
        <v>0.2</v>
      </c>
      <c r="F21" s="58">
        <f>E18*E21</f>
        <v>3700</v>
      </c>
      <c r="G21" s="45"/>
      <c r="M21" s="47"/>
    </row>
    <row r="22">
      <c r="A22" s="25"/>
      <c r="B22" s="26"/>
      <c r="C22" s="135"/>
      <c r="D22" s="56" t="s">
        <v>63</v>
      </c>
      <c r="E22" s="57">
        <v>0.1</v>
      </c>
      <c r="F22" s="58">
        <f>E18*E22</f>
        <v>1850</v>
      </c>
      <c r="G22" s="45"/>
      <c r="M22" s="47"/>
    </row>
    <row r="23">
      <c r="A23" s="25"/>
      <c r="B23" s="26"/>
      <c r="C23" s="50"/>
      <c r="D23" s="56" t="s">
        <v>64</v>
      </c>
      <c r="E23" s="60">
        <v>0.1</v>
      </c>
      <c r="F23" s="58">
        <f>E18*E23</f>
        <v>1850</v>
      </c>
      <c r="G23" s="45"/>
      <c r="M23" s="47"/>
    </row>
    <row r="24">
      <c r="A24" s="25"/>
      <c r="B24" s="26"/>
      <c r="C24" s="50"/>
      <c r="D24" s="62" t="s">
        <v>65</v>
      </c>
      <c r="E24" s="47"/>
      <c r="F24" s="63">
        <f>SUM(F19:F23)</f>
        <v>18500</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13122.11</v>
      </c>
      <c r="C27" s="11"/>
      <c r="D27" s="35">
        <v>1693.91</v>
      </c>
      <c r="E27" s="11"/>
      <c r="F27" s="11"/>
      <c r="G27" s="45"/>
      <c r="H27" s="17"/>
      <c r="I27" s="17"/>
      <c r="J27" s="17"/>
      <c r="K27" s="17"/>
      <c r="L27" s="17"/>
      <c r="M27" s="18"/>
    </row>
    <row r="31">
      <c r="A31" s="91" t="s">
        <v>132</v>
      </c>
      <c r="B31" s="92">
        <f>SUM(B17:B26)</f>
        <v>11629.97</v>
      </c>
    </row>
    <row r="33">
      <c r="L33" s="86">
        <v>18500.0</v>
      </c>
    </row>
    <row r="34">
      <c r="L34" s="86">
        <v>33000.0</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s>
  <sheetData>
    <row r="1">
      <c r="A1" s="7" t="s">
        <v>23</v>
      </c>
      <c r="B1" s="8">
        <f>F19</f>
        <v>5712.85</v>
      </c>
      <c r="C1" s="7" t="s">
        <v>23</v>
      </c>
      <c r="D1" s="8">
        <f>F20</f>
        <v>519.35</v>
      </c>
      <c r="E1" s="7" t="s">
        <v>23</v>
      </c>
      <c r="F1" s="8">
        <f>F21</f>
        <v>2077.4</v>
      </c>
      <c r="G1" s="7" t="s">
        <v>23</v>
      </c>
      <c r="H1" s="8">
        <f>F22</f>
        <v>1038.7</v>
      </c>
      <c r="I1" s="7" t="s">
        <v>23</v>
      </c>
      <c r="J1" s="8">
        <f>F23</f>
        <v>1038.7</v>
      </c>
      <c r="K1" s="9" t="s">
        <v>24</v>
      </c>
      <c r="L1" s="10">
        <f t="shared" ref="L1:L2" si="1">SUM(B1,D1,F1,H1,J1)</f>
        <v>10387</v>
      </c>
      <c r="M1" s="11"/>
    </row>
    <row r="2">
      <c r="A2" s="12" t="s">
        <v>25</v>
      </c>
      <c r="B2" s="13">
        <f>B1-B27</f>
        <v>28.18</v>
      </c>
      <c r="C2" s="12" t="s">
        <v>25</v>
      </c>
      <c r="D2" s="13">
        <f>D1-D15</f>
        <v>325.4</v>
      </c>
      <c r="E2" s="12" t="s">
        <v>25</v>
      </c>
      <c r="F2" s="13">
        <f>F1-F15</f>
        <v>1494.4</v>
      </c>
      <c r="G2" s="12" t="s">
        <v>25</v>
      </c>
      <c r="H2" s="13">
        <f>H1-H15</f>
        <v>1038.7</v>
      </c>
      <c r="I2" s="12" t="s">
        <v>25</v>
      </c>
      <c r="J2" s="13">
        <f>J1-J15</f>
        <v>1038.7</v>
      </c>
      <c r="K2" s="14" t="s">
        <v>26</v>
      </c>
      <c r="L2" s="15">
        <f t="shared" si="1"/>
        <v>3925.38</v>
      </c>
      <c r="M2" s="11"/>
    </row>
    <row r="3">
      <c r="A3" s="16" t="s">
        <v>27</v>
      </c>
      <c r="B3" s="17"/>
      <c r="C3" s="71" t="s">
        <v>77</v>
      </c>
      <c r="D3" s="18"/>
      <c r="E3" s="71" t="s">
        <v>80</v>
      </c>
      <c r="F3" s="18"/>
      <c r="G3" s="16" t="s">
        <v>30</v>
      </c>
      <c r="H3" s="18"/>
      <c r="I3" s="16" t="s">
        <v>31</v>
      </c>
      <c r="J3" s="18"/>
      <c r="M3" s="11"/>
    </row>
    <row r="4">
      <c r="A4" s="21" t="s">
        <v>32</v>
      </c>
      <c r="B4" s="23">
        <v>127.0</v>
      </c>
      <c r="C4" s="21" t="s">
        <v>34</v>
      </c>
      <c r="D4" s="23">
        <v>18.0</v>
      </c>
      <c r="E4" s="21" t="s">
        <v>99</v>
      </c>
      <c r="F4" s="23">
        <v>300.0</v>
      </c>
      <c r="G4" s="21"/>
      <c r="H4" s="22"/>
      <c r="I4" s="25"/>
      <c r="J4" s="26"/>
      <c r="K4" s="11"/>
      <c r="L4" s="35"/>
      <c r="M4" s="11"/>
    </row>
    <row r="5">
      <c r="A5" s="111" t="s">
        <v>35</v>
      </c>
      <c r="B5" s="112">
        <v>100.0</v>
      </c>
      <c r="C5" s="21" t="s">
        <v>36</v>
      </c>
      <c r="D5" s="23">
        <v>18.65</v>
      </c>
      <c r="E5" s="21" t="s">
        <v>320</v>
      </c>
      <c r="F5" s="23">
        <v>283.0</v>
      </c>
      <c r="G5" s="25"/>
      <c r="H5" s="26"/>
      <c r="I5" s="25"/>
      <c r="J5" s="26"/>
      <c r="K5" s="11"/>
      <c r="L5" s="11"/>
      <c r="M5" s="11"/>
    </row>
    <row r="6">
      <c r="A6" s="21" t="s">
        <v>37</v>
      </c>
      <c r="B6" s="23">
        <v>139.64</v>
      </c>
      <c r="C6" s="21" t="s">
        <v>100</v>
      </c>
      <c r="D6" s="23">
        <v>55.9</v>
      </c>
      <c r="E6" s="21"/>
      <c r="F6" s="23"/>
      <c r="G6" s="25"/>
      <c r="H6" s="26"/>
      <c r="I6" s="25"/>
      <c r="J6" s="26"/>
      <c r="K6" s="11"/>
      <c r="L6" s="28"/>
      <c r="M6" s="11"/>
    </row>
    <row r="7">
      <c r="A7" s="21" t="s">
        <v>91</v>
      </c>
      <c r="B7" s="23">
        <v>239.0</v>
      </c>
      <c r="C7" s="21" t="s">
        <v>40</v>
      </c>
      <c r="D7" s="23">
        <v>19.9</v>
      </c>
      <c r="E7" s="25"/>
      <c r="F7" s="26"/>
      <c r="G7" s="25"/>
      <c r="H7" s="26"/>
      <c r="I7" s="25"/>
      <c r="J7" s="26"/>
      <c r="K7" s="11"/>
      <c r="L7" s="66">
        <v>4864.0</v>
      </c>
      <c r="M7" s="66">
        <v>4864.0</v>
      </c>
    </row>
    <row r="8">
      <c r="A8" s="21" t="s">
        <v>92</v>
      </c>
      <c r="B8" s="23">
        <v>239.0</v>
      </c>
      <c r="C8" s="21" t="s">
        <v>44</v>
      </c>
      <c r="D8" s="23">
        <v>11.6</v>
      </c>
      <c r="E8" s="31"/>
      <c r="F8" s="26"/>
      <c r="G8" s="25"/>
      <c r="H8" s="26"/>
      <c r="I8" s="25"/>
      <c r="J8" s="26"/>
      <c r="K8" s="28"/>
      <c r="L8" s="66">
        <v>5367.0</v>
      </c>
      <c r="M8" s="35">
        <v>6205.0</v>
      </c>
    </row>
    <row r="9">
      <c r="A9" s="21" t="s">
        <v>43</v>
      </c>
      <c r="B9" s="23">
        <v>352.5</v>
      </c>
      <c r="C9" s="21" t="s">
        <v>101</v>
      </c>
      <c r="D9" s="23">
        <v>0.0</v>
      </c>
      <c r="E9" s="31"/>
      <c r="F9" s="26"/>
      <c r="G9" s="25"/>
      <c r="H9" s="26"/>
      <c r="I9" s="25"/>
      <c r="J9" s="26"/>
      <c r="K9" s="11"/>
      <c r="L9" s="66"/>
      <c r="M9" s="11"/>
    </row>
    <row r="10">
      <c r="A10" s="76" t="s">
        <v>102</v>
      </c>
      <c r="B10" s="23">
        <v>295.0</v>
      </c>
      <c r="C10" s="21" t="s">
        <v>283</v>
      </c>
      <c r="D10" s="23">
        <v>45.0</v>
      </c>
      <c r="E10" s="25"/>
      <c r="F10" s="26"/>
      <c r="G10" s="25"/>
      <c r="H10" s="26"/>
      <c r="I10" s="25"/>
      <c r="J10" s="26"/>
      <c r="K10" s="11"/>
    </row>
    <row r="11">
      <c r="A11" s="21" t="s">
        <v>104</v>
      </c>
      <c r="B11" s="23"/>
      <c r="C11" s="21" t="s">
        <v>129</v>
      </c>
      <c r="D11" s="23">
        <v>24.9</v>
      </c>
      <c r="E11" s="31"/>
      <c r="F11" s="26"/>
      <c r="G11" s="31"/>
      <c r="H11" s="26"/>
      <c r="I11" s="25"/>
      <c r="J11" s="26"/>
      <c r="K11" s="11"/>
      <c r="L11" s="66"/>
      <c r="M11" s="11"/>
    </row>
    <row r="12">
      <c r="A12" s="32"/>
      <c r="B12" s="33"/>
      <c r="C12" s="21"/>
      <c r="D12" s="23"/>
      <c r="E12" s="31"/>
      <c r="F12" s="26"/>
      <c r="G12" s="31"/>
      <c r="H12" s="26"/>
      <c r="I12" s="31"/>
      <c r="J12" s="26"/>
      <c r="K12" s="11"/>
      <c r="L12" s="28"/>
      <c r="M12" s="11"/>
    </row>
    <row r="13">
      <c r="A13" s="31"/>
      <c r="B13" s="23"/>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1492.14</v>
      </c>
      <c r="C15" s="25" t="s">
        <v>50</v>
      </c>
      <c r="D15" s="26">
        <f>SUM(D4:D14)</f>
        <v>193.95</v>
      </c>
      <c r="E15" s="39" t="s">
        <v>50</v>
      </c>
      <c r="F15" s="40">
        <f>SUM(F4:F14)</f>
        <v>583</v>
      </c>
      <c r="G15" s="39" t="s">
        <v>50</v>
      </c>
      <c r="H15" s="40">
        <f>SUM(H4:H14)</f>
        <v>0</v>
      </c>
      <c r="I15" s="39" t="s">
        <v>50</v>
      </c>
      <c r="J15" s="40">
        <f>SUM(J4:J14)</f>
        <v>0</v>
      </c>
      <c r="K15" s="11"/>
      <c r="L15" s="11"/>
      <c r="M15" s="11"/>
    </row>
    <row r="16">
      <c r="A16" s="41" t="s">
        <v>51</v>
      </c>
      <c r="B16" s="17"/>
      <c r="C16" s="102" t="s">
        <v>286</v>
      </c>
      <c r="D16" s="42"/>
      <c r="E16" s="42"/>
      <c r="F16" s="42"/>
      <c r="G16" s="11"/>
      <c r="H16" s="42"/>
      <c r="I16" s="42"/>
      <c r="J16" s="42"/>
      <c r="K16" s="42"/>
      <c r="L16" s="42"/>
      <c r="M16" s="42"/>
    </row>
    <row r="17">
      <c r="A17" s="126" t="s">
        <v>52</v>
      </c>
      <c r="B17" s="88">
        <v>298.46</v>
      </c>
      <c r="C17" s="106">
        <v>46045.0</v>
      </c>
      <c r="D17" s="44" t="s">
        <v>53</v>
      </c>
      <c r="E17" s="17"/>
      <c r="F17" s="18"/>
      <c r="G17" s="45"/>
      <c r="H17" s="46" t="s">
        <v>54</v>
      </c>
      <c r="M17" s="47"/>
    </row>
    <row r="18">
      <c r="A18" s="116" t="s">
        <v>55</v>
      </c>
      <c r="B18" s="117">
        <v>1173.73</v>
      </c>
      <c r="C18" s="106">
        <v>46162.0</v>
      </c>
      <c r="D18" s="51" t="s">
        <v>56</v>
      </c>
      <c r="E18" s="52">
        <v>10387.0</v>
      </c>
      <c r="F18" s="18"/>
      <c r="G18" s="45"/>
      <c r="M18" s="47"/>
    </row>
    <row r="19">
      <c r="A19" s="126" t="s">
        <v>57</v>
      </c>
      <c r="B19" s="88">
        <v>1217.61</v>
      </c>
      <c r="C19" s="106">
        <v>46162.0</v>
      </c>
      <c r="D19" s="56" t="s">
        <v>58</v>
      </c>
      <c r="E19" s="107">
        <v>0.55</v>
      </c>
      <c r="F19" s="58">
        <f>E18*E19</f>
        <v>5712.85</v>
      </c>
      <c r="G19" s="45"/>
      <c r="M19" s="47"/>
    </row>
    <row r="20">
      <c r="A20" s="133" t="s">
        <v>59</v>
      </c>
      <c r="B20" s="134">
        <v>60.73</v>
      </c>
      <c r="C20" s="106">
        <v>46162.0</v>
      </c>
      <c r="D20" s="74" t="s">
        <v>79</v>
      </c>
      <c r="E20" s="60">
        <v>0.05</v>
      </c>
      <c r="F20" s="58">
        <f>E18*E20</f>
        <v>519.35</v>
      </c>
      <c r="G20" s="45"/>
      <c r="M20" s="47"/>
    </row>
    <row r="21">
      <c r="A21" s="21" t="s">
        <v>61</v>
      </c>
      <c r="B21" s="23">
        <v>1442.0</v>
      </c>
      <c r="C21" s="106">
        <v>46162.0</v>
      </c>
      <c r="D21" s="74" t="s">
        <v>87</v>
      </c>
      <c r="E21" s="60">
        <v>0.2</v>
      </c>
      <c r="F21" s="58">
        <f>E18*E21</f>
        <v>2077.4</v>
      </c>
      <c r="G21" s="45"/>
      <c r="M21" s="47"/>
    </row>
    <row r="22">
      <c r="A22" s="25"/>
      <c r="B22" s="23"/>
      <c r="C22" s="135"/>
      <c r="D22" s="56" t="s">
        <v>63</v>
      </c>
      <c r="E22" s="57">
        <v>0.1</v>
      </c>
      <c r="F22" s="58">
        <f>E18*E22</f>
        <v>1038.7</v>
      </c>
      <c r="G22" s="45"/>
      <c r="M22" s="47"/>
    </row>
    <row r="23">
      <c r="A23" s="25"/>
      <c r="B23" s="26"/>
      <c r="C23" s="50"/>
      <c r="D23" s="56" t="s">
        <v>64</v>
      </c>
      <c r="E23" s="60">
        <v>0.1</v>
      </c>
      <c r="F23" s="58">
        <f>E18*E23</f>
        <v>1038.7</v>
      </c>
      <c r="G23" s="45"/>
      <c r="M23" s="47"/>
    </row>
    <row r="24">
      <c r="A24" s="25"/>
      <c r="B24" s="26"/>
      <c r="C24" s="50"/>
      <c r="D24" s="62" t="s">
        <v>65</v>
      </c>
      <c r="E24" s="47"/>
      <c r="F24" s="63">
        <f>SUM(F19:F23)</f>
        <v>10387</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5684.67</v>
      </c>
      <c r="C27" s="11"/>
      <c r="D27" s="11"/>
      <c r="E27" s="11"/>
      <c r="F27" s="11"/>
      <c r="G27" s="45"/>
      <c r="H27" s="17"/>
      <c r="I27" s="17"/>
      <c r="J27" s="17"/>
      <c r="K27" s="17"/>
      <c r="L27" s="17"/>
      <c r="M27" s="18"/>
    </row>
    <row r="31">
      <c r="A31" s="91" t="s">
        <v>132</v>
      </c>
      <c r="B31" s="92">
        <f>SUM(B17:B26)</f>
        <v>4192.53</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s>
  <sheetData>
    <row r="1">
      <c r="A1" s="7" t="s">
        <v>23</v>
      </c>
      <c r="B1" s="8">
        <f>F19</f>
        <v>5712.85</v>
      </c>
      <c r="C1" s="7" t="s">
        <v>23</v>
      </c>
      <c r="D1" s="8">
        <f>F20</f>
        <v>519.35</v>
      </c>
      <c r="E1" s="7" t="s">
        <v>23</v>
      </c>
      <c r="F1" s="8">
        <f>F21</f>
        <v>2077.4</v>
      </c>
      <c r="G1" s="7" t="s">
        <v>23</v>
      </c>
      <c r="H1" s="8">
        <f>F22</f>
        <v>1038.7</v>
      </c>
      <c r="I1" s="7" t="s">
        <v>23</v>
      </c>
      <c r="J1" s="8">
        <f>F23</f>
        <v>1038.7</v>
      </c>
      <c r="K1" s="9" t="s">
        <v>24</v>
      </c>
      <c r="L1" s="10">
        <f t="shared" ref="L1:L2" si="1">SUM(B1,D1,F1,H1,J1)</f>
        <v>10387</v>
      </c>
      <c r="M1" s="11"/>
    </row>
    <row r="2">
      <c r="A2" s="12" t="s">
        <v>25</v>
      </c>
      <c r="B2" s="13">
        <f>B1-B27</f>
        <v>704.87</v>
      </c>
      <c r="C2" s="12" t="s">
        <v>25</v>
      </c>
      <c r="D2" s="13">
        <f>D1-D15</f>
        <v>325.4</v>
      </c>
      <c r="E2" s="12" t="s">
        <v>25</v>
      </c>
      <c r="F2" s="13">
        <f>F1-F15</f>
        <v>1494.4</v>
      </c>
      <c r="G2" s="12" t="s">
        <v>25</v>
      </c>
      <c r="H2" s="13">
        <f>H1-H15</f>
        <v>1038.7</v>
      </c>
      <c r="I2" s="12" t="s">
        <v>25</v>
      </c>
      <c r="J2" s="13">
        <f>J1-J15</f>
        <v>1038.7</v>
      </c>
      <c r="K2" s="14" t="s">
        <v>26</v>
      </c>
      <c r="L2" s="15">
        <f t="shared" si="1"/>
        <v>4602.07</v>
      </c>
      <c r="M2" s="11"/>
    </row>
    <row r="3">
      <c r="A3" s="16" t="s">
        <v>27</v>
      </c>
      <c r="B3" s="17"/>
      <c r="C3" s="71" t="s">
        <v>77</v>
      </c>
      <c r="D3" s="18"/>
      <c r="E3" s="71" t="s">
        <v>80</v>
      </c>
      <c r="F3" s="18"/>
      <c r="G3" s="16" t="s">
        <v>30</v>
      </c>
      <c r="H3" s="18"/>
      <c r="I3" s="16" t="s">
        <v>31</v>
      </c>
      <c r="J3" s="18"/>
      <c r="M3" s="11"/>
    </row>
    <row r="4">
      <c r="A4" s="21" t="s">
        <v>32</v>
      </c>
      <c r="B4" s="23">
        <v>127.0</v>
      </c>
      <c r="C4" s="21" t="s">
        <v>34</v>
      </c>
      <c r="D4" s="23">
        <v>18.0</v>
      </c>
      <c r="E4" s="21" t="s">
        <v>99</v>
      </c>
      <c r="F4" s="23">
        <v>300.0</v>
      </c>
      <c r="G4" s="21"/>
      <c r="H4" s="22"/>
      <c r="I4" s="25"/>
      <c r="J4" s="26"/>
      <c r="K4" s="11"/>
      <c r="L4" s="35"/>
      <c r="M4" s="11"/>
    </row>
    <row r="5">
      <c r="A5" s="111" t="s">
        <v>35</v>
      </c>
      <c r="B5" s="112">
        <v>100.0</v>
      </c>
      <c r="C5" s="21" t="s">
        <v>36</v>
      </c>
      <c r="D5" s="23">
        <v>18.65</v>
      </c>
      <c r="E5" s="21" t="s">
        <v>320</v>
      </c>
      <c r="F5" s="23">
        <v>283.0</v>
      </c>
      <c r="G5" s="25"/>
      <c r="H5" s="26"/>
      <c r="I5" s="25"/>
      <c r="J5" s="26"/>
      <c r="K5" s="11"/>
      <c r="L5" s="11"/>
      <c r="M5" s="11"/>
    </row>
    <row r="6">
      <c r="A6" s="21" t="s">
        <v>37</v>
      </c>
      <c r="B6" s="23">
        <v>139.64</v>
      </c>
      <c r="C6" s="21" t="s">
        <v>100</v>
      </c>
      <c r="D6" s="23">
        <v>55.9</v>
      </c>
      <c r="E6" s="21"/>
      <c r="F6" s="23"/>
      <c r="G6" s="25"/>
      <c r="H6" s="26"/>
      <c r="I6" s="25"/>
      <c r="J6" s="26"/>
      <c r="K6" s="11"/>
      <c r="L6" s="28"/>
      <c r="M6" s="11"/>
    </row>
    <row r="7">
      <c r="A7" s="21" t="s">
        <v>91</v>
      </c>
      <c r="B7" s="23">
        <v>239.0</v>
      </c>
      <c r="C7" s="21" t="s">
        <v>40</v>
      </c>
      <c r="D7" s="23">
        <v>19.9</v>
      </c>
      <c r="E7" s="25"/>
      <c r="F7" s="26"/>
      <c r="G7" s="25"/>
      <c r="H7" s="26"/>
      <c r="I7" s="25"/>
      <c r="J7" s="26"/>
      <c r="K7" s="11"/>
      <c r="L7" s="66">
        <v>4864.0</v>
      </c>
      <c r="M7" s="66">
        <v>4864.0</v>
      </c>
    </row>
    <row r="8">
      <c r="A8" s="21" t="s">
        <v>92</v>
      </c>
      <c r="B8" s="23">
        <v>239.0</v>
      </c>
      <c r="C8" s="21" t="s">
        <v>44</v>
      </c>
      <c r="D8" s="23">
        <v>11.6</v>
      </c>
      <c r="E8" s="31"/>
      <c r="F8" s="26"/>
      <c r="G8" s="25"/>
      <c r="H8" s="26"/>
      <c r="I8" s="25"/>
      <c r="J8" s="26"/>
      <c r="K8" s="28"/>
      <c r="L8" s="66">
        <v>5367.0</v>
      </c>
      <c r="M8" s="35">
        <v>6205.0</v>
      </c>
    </row>
    <row r="9">
      <c r="A9" s="21" t="s">
        <v>43</v>
      </c>
      <c r="B9" s="23">
        <v>352.5</v>
      </c>
      <c r="C9" s="21" t="s">
        <v>101</v>
      </c>
      <c r="D9" s="23">
        <v>0.0</v>
      </c>
      <c r="E9" s="31"/>
      <c r="F9" s="26"/>
      <c r="G9" s="25"/>
      <c r="H9" s="26"/>
      <c r="I9" s="25"/>
      <c r="J9" s="26"/>
      <c r="K9" s="11"/>
      <c r="L9" s="66"/>
      <c r="M9" s="11"/>
    </row>
    <row r="10">
      <c r="A10" s="76" t="s">
        <v>102</v>
      </c>
      <c r="B10" s="23">
        <v>295.0</v>
      </c>
      <c r="C10" s="21" t="s">
        <v>283</v>
      </c>
      <c r="D10" s="23">
        <v>45.0</v>
      </c>
      <c r="E10" s="25"/>
      <c r="F10" s="26"/>
      <c r="G10" s="25"/>
      <c r="H10" s="26"/>
      <c r="I10" s="25"/>
      <c r="J10" s="26"/>
      <c r="K10" s="11"/>
    </row>
    <row r="11">
      <c r="A11" s="21" t="s">
        <v>104</v>
      </c>
      <c r="B11" s="23"/>
      <c r="C11" s="21" t="s">
        <v>129</v>
      </c>
      <c r="D11" s="23">
        <v>24.9</v>
      </c>
      <c r="E11" s="31"/>
      <c r="F11" s="26"/>
      <c r="G11" s="31"/>
      <c r="H11" s="26"/>
      <c r="I11" s="25"/>
      <c r="J11" s="26"/>
      <c r="K11" s="11"/>
      <c r="L11" s="66"/>
      <c r="M11" s="11"/>
    </row>
    <row r="12">
      <c r="A12" s="32"/>
      <c r="B12" s="33"/>
      <c r="C12" s="21"/>
      <c r="D12" s="23"/>
      <c r="E12" s="31"/>
      <c r="F12" s="26"/>
      <c r="G12" s="31"/>
      <c r="H12" s="26"/>
      <c r="I12" s="31"/>
      <c r="J12" s="26"/>
      <c r="K12" s="11"/>
      <c r="L12" s="28">
        <f>SUM(L7:L11)</f>
        <v>10231</v>
      </c>
      <c r="M12" s="11"/>
    </row>
    <row r="13">
      <c r="A13" s="31"/>
      <c r="B13" s="23"/>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1492.14</v>
      </c>
      <c r="C15" s="25" t="s">
        <v>50</v>
      </c>
      <c r="D15" s="26">
        <f>SUM(D4:D14)</f>
        <v>193.95</v>
      </c>
      <c r="E15" s="39" t="s">
        <v>50</v>
      </c>
      <c r="F15" s="40">
        <f>SUM(F4:F14)</f>
        <v>583</v>
      </c>
      <c r="G15" s="39" t="s">
        <v>50</v>
      </c>
      <c r="H15" s="40">
        <f>SUM(H4:H14)</f>
        <v>0</v>
      </c>
      <c r="I15" s="39" t="s">
        <v>50</v>
      </c>
      <c r="J15" s="40">
        <f>SUM(J4:J14)</f>
        <v>0</v>
      </c>
      <c r="K15" s="11"/>
      <c r="L15" s="11"/>
      <c r="M15" s="11"/>
    </row>
    <row r="16">
      <c r="A16" s="41" t="s">
        <v>51</v>
      </c>
      <c r="B16" s="17"/>
      <c r="C16" s="102" t="s">
        <v>286</v>
      </c>
      <c r="D16" s="42"/>
      <c r="E16" s="42"/>
      <c r="F16" s="42"/>
      <c r="G16" s="11"/>
      <c r="H16" s="42"/>
      <c r="I16" s="42"/>
      <c r="J16" s="42"/>
      <c r="K16" s="42"/>
      <c r="L16" s="42"/>
      <c r="M16" s="42"/>
    </row>
    <row r="17">
      <c r="A17" s="126" t="s">
        <v>52</v>
      </c>
      <c r="B17" s="88">
        <v>193.18</v>
      </c>
      <c r="C17" s="106">
        <v>46045.0</v>
      </c>
      <c r="D17" s="44" t="s">
        <v>53</v>
      </c>
      <c r="E17" s="17"/>
      <c r="F17" s="18"/>
      <c r="G17" s="45"/>
      <c r="H17" s="46" t="s">
        <v>54</v>
      </c>
      <c r="M17" s="47"/>
      <c r="N17" s="86">
        <v>235.0</v>
      </c>
      <c r="O17" s="86" t="s">
        <v>288</v>
      </c>
    </row>
    <row r="18">
      <c r="A18" s="116" t="s">
        <v>55</v>
      </c>
      <c r="B18" s="117">
        <v>900.14</v>
      </c>
      <c r="C18" s="106">
        <v>46162.0</v>
      </c>
      <c r="D18" s="51" t="s">
        <v>56</v>
      </c>
      <c r="E18" s="52">
        <v>10387.0</v>
      </c>
      <c r="F18" s="18"/>
      <c r="G18" s="45"/>
      <c r="M18" s="47"/>
      <c r="N18" s="86">
        <v>205.0</v>
      </c>
      <c r="O18" s="86" t="s">
        <v>289</v>
      </c>
    </row>
    <row r="19">
      <c r="A19" s="126" t="s">
        <v>57</v>
      </c>
      <c r="B19" s="88">
        <v>1217.61</v>
      </c>
      <c r="C19" s="106">
        <v>46162.0</v>
      </c>
      <c r="D19" s="56" t="s">
        <v>58</v>
      </c>
      <c r="E19" s="107">
        <v>0.55</v>
      </c>
      <c r="F19" s="58">
        <f>E18*E19</f>
        <v>5712.85</v>
      </c>
      <c r="G19" s="45"/>
      <c r="M19" s="47"/>
      <c r="N19" s="86">
        <v>100.0</v>
      </c>
      <c r="O19" s="86" t="s">
        <v>35</v>
      </c>
    </row>
    <row r="20">
      <c r="A20" s="133" t="s">
        <v>59</v>
      </c>
      <c r="B20" s="134">
        <v>60.73</v>
      </c>
      <c r="C20" s="106">
        <v>46162.0</v>
      </c>
      <c r="D20" s="74" t="s">
        <v>79</v>
      </c>
      <c r="E20" s="60">
        <v>0.05</v>
      </c>
      <c r="F20" s="58">
        <f>E18*E20</f>
        <v>519.35</v>
      </c>
      <c r="G20" s="45"/>
      <c r="M20" s="47"/>
      <c r="N20" s="86">
        <v>535.0</v>
      </c>
      <c r="O20" s="86" t="s">
        <v>290</v>
      </c>
    </row>
    <row r="21">
      <c r="A21" s="21" t="s">
        <v>61</v>
      </c>
      <c r="B21" s="23">
        <v>1144.18</v>
      </c>
      <c r="C21" s="106">
        <v>46162.0</v>
      </c>
      <c r="D21" s="74" t="s">
        <v>87</v>
      </c>
      <c r="E21" s="60">
        <v>0.2</v>
      </c>
      <c r="F21" s="58">
        <f>E18*E21</f>
        <v>2077.4</v>
      </c>
      <c r="G21" s="45"/>
      <c r="M21" s="47"/>
    </row>
    <row r="22">
      <c r="A22" s="25"/>
      <c r="B22" s="26"/>
      <c r="C22" s="135"/>
      <c r="D22" s="56" t="s">
        <v>63</v>
      </c>
      <c r="E22" s="57">
        <v>0.1</v>
      </c>
      <c r="F22" s="58">
        <f>E18*E22</f>
        <v>1038.7</v>
      </c>
      <c r="G22" s="45"/>
      <c r="M22" s="47"/>
    </row>
    <row r="23">
      <c r="A23" s="25"/>
      <c r="B23" s="26"/>
      <c r="C23" s="50"/>
      <c r="D23" s="56" t="s">
        <v>64</v>
      </c>
      <c r="E23" s="60">
        <v>0.1</v>
      </c>
      <c r="F23" s="58">
        <f>E18*E23</f>
        <v>1038.7</v>
      </c>
      <c r="G23" s="45"/>
      <c r="M23" s="47"/>
    </row>
    <row r="24">
      <c r="A24" s="25"/>
      <c r="B24" s="26"/>
      <c r="C24" s="50"/>
      <c r="D24" s="62" t="s">
        <v>65</v>
      </c>
      <c r="E24" s="47"/>
      <c r="F24" s="63">
        <f>SUM(F19:F23)</f>
        <v>10387</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5007.98</v>
      </c>
      <c r="C27" s="11"/>
      <c r="D27" s="11"/>
      <c r="E27" s="11"/>
      <c r="F27" s="11"/>
      <c r="G27" s="45"/>
      <c r="H27" s="17"/>
      <c r="I27" s="17"/>
      <c r="J27" s="17"/>
      <c r="K27" s="17"/>
      <c r="L27" s="17"/>
      <c r="M27" s="18"/>
    </row>
    <row r="31">
      <c r="A31" s="91" t="s">
        <v>132</v>
      </c>
      <c r="B31" s="92">
        <f>SUM(B17:B26)</f>
        <v>3515.84</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s>
  <sheetData>
    <row r="1">
      <c r="A1" s="7" t="s">
        <v>23</v>
      </c>
      <c r="B1" s="8">
        <f>F19</f>
        <v>5712.85</v>
      </c>
      <c r="C1" s="7" t="s">
        <v>23</v>
      </c>
      <c r="D1" s="8">
        <f>F20</f>
        <v>519.35</v>
      </c>
      <c r="E1" s="7" t="s">
        <v>23</v>
      </c>
      <c r="F1" s="8">
        <f>F21</f>
        <v>2077.4</v>
      </c>
      <c r="G1" s="7" t="s">
        <v>23</v>
      </c>
      <c r="H1" s="8">
        <f>F22</f>
        <v>1038.7</v>
      </c>
      <c r="I1" s="7" t="s">
        <v>23</v>
      </c>
      <c r="J1" s="8">
        <f>F23</f>
        <v>1038.7</v>
      </c>
      <c r="K1" s="9" t="s">
        <v>24</v>
      </c>
      <c r="L1" s="10">
        <f t="shared" ref="L1:L2" si="1">SUM(B1,D1,F1,H1,J1)</f>
        <v>10387</v>
      </c>
      <c r="M1" s="11"/>
    </row>
    <row r="2">
      <c r="A2" s="12" t="s">
        <v>25</v>
      </c>
      <c r="B2" s="13">
        <f>B1-B27</f>
        <v>1446.73</v>
      </c>
      <c r="C2" s="12" t="s">
        <v>25</v>
      </c>
      <c r="D2" s="13">
        <f>D1-D15</f>
        <v>325.4</v>
      </c>
      <c r="E2" s="12" t="s">
        <v>25</v>
      </c>
      <c r="F2" s="13">
        <f>F1-F15</f>
        <v>1494.4</v>
      </c>
      <c r="G2" s="12" t="s">
        <v>25</v>
      </c>
      <c r="H2" s="13">
        <f>H1-H15</f>
        <v>1038.7</v>
      </c>
      <c r="I2" s="12" t="s">
        <v>25</v>
      </c>
      <c r="J2" s="13">
        <f>J1-J15</f>
        <v>1038.7</v>
      </c>
      <c r="K2" s="14" t="s">
        <v>26</v>
      </c>
      <c r="L2" s="15">
        <f t="shared" si="1"/>
        <v>5343.93</v>
      </c>
      <c r="M2" s="11"/>
    </row>
    <row r="3">
      <c r="A3" s="16" t="s">
        <v>27</v>
      </c>
      <c r="B3" s="17"/>
      <c r="C3" s="71" t="s">
        <v>77</v>
      </c>
      <c r="D3" s="18"/>
      <c r="E3" s="71" t="s">
        <v>80</v>
      </c>
      <c r="F3" s="18"/>
      <c r="G3" s="16" t="s">
        <v>30</v>
      </c>
      <c r="H3" s="18"/>
      <c r="I3" s="16" t="s">
        <v>31</v>
      </c>
      <c r="J3" s="18"/>
      <c r="M3" s="11"/>
    </row>
    <row r="4">
      <c r="A4" s="21" t="s">
        <v>32</v>
      </c>
      <c r="B4" s="23">
        <v>127.0</v>
      </c>
      <c r="C4" s="21" t="s">
        <v>34</v>
      </c>
      <c r="D4" s="23">
        <v>18.0</v>
      </c>
      <c r="E4" s="21" t="s">
        <v>99</v>
      </c>
      <c r="F4" s="23">
        <v>300.0</v>
      </c>
      <c r="G4" s="21"/>
      <c r="H4" s="22"/>
      <c r="I4" s="25"/>
      <c r="J4" s="26"/>
      <c r="K4" s="11"/>
      <c r="L4" s="35"/>
      <c r="M4" s="11"/>
    </row>
    <row r="5">
      <c r="A5" s="111" t="s">
        <v>35</v>
      </c>
      <c r="B5" s="112">
        <v>100.0</v>
      </c>
      <c r="C5" s="21" t="s">
        <v>36</v>
      </c>
      <c r="D5" s="23">
        <v>18.65</v>
      </c>
      <c r="E5" s="21" t="s">
        <v>320</v>
      </c>
      <c r="F5" s="23">
        <v>283.0</v>
      </c>
      <c r="G5" s="25"/>
      <c r="H5" s="26"/>
      <c r="I5" s="25"/>
      <c r="J5" s="26"/>
      <c r="K5" s="11"/>
      <c r="L5" s="11"/>
      <c r="M5" s="11"/>
    </row>
    <row r="6">
      <c r="A6" s="21" t="s">
        <v>37</v>
      </c>
      <c r="B6" s="23">
        <v>139.64</v>
      </c>
      <c r="C6" s="21" t="s">
        <v>100</v>
      </c>
      <c r="D6" s="23">
        <v>55.9</v>
      </c>
      <c r="E6" s="21"/>
      <c r="F6" s="23"/>
      <c r="G6" s="25"/>
      <c r="H6" s="26"/>
      <c r="I6" s="25"/>
      <c r="J6" s="26"/>
      <c r="K6" s="11"/>
      <c r="L6" s="28"/>
      <c r="M6" s="11"/>
    </row>
    <row r="7">
      <c r="A7" s="21" t="s">
        <v>91</v>
      </c>
      <c r="B7" s="23">
        <v>239.0</v>
      </c>
      <c r="C7" s="21" t="s">
        <v>40</v>
      </c>
      <c r="D7" s="23">
        <v>19.9</v>
      </c>
      <c r="E7" s="25"/>
      <c r="F7" s="26"/>
      <c r="G7" s="25"/>
      <c r="H7" s="26"/>
      <c r="I7" s="25"/>
      <c r="J7" s="26"/>
      <c r="K7" s="11"/>
      <c r="L7" s="66">
        <v>4864.0</v>
      </c>
      <c r="M7" s="66">
        <v>4864.0</v>
      </c>
    </row>
    <row r="8">
      <c r="A8" s="21" t="s">
        <v>92</v>
      </c>
      <c r="B8" s="23">
        <v>239.0</v>
      </c>
      <c r="C8" s="21" t="s">
        <v>44</v>
      </c>
      <c r="D8" s="23">
        <v>11.6</v>
      </c>
      <c r="E8" s="31"/>
      <c r="F8" s="26"/>
      <c r="G8" s="25"/>
      <c r="H8" s="26"/>
      <c r="I8" s="25"/>
      <c r="J8" s="26"/>
      <c r="K8" s="28"/>
      <c r="L8" s="66">
        <v>5367.0</v>
      </c>
      <c r="M8" s="35">
        <v>6205.0</v>
      </c>
    </row>
    <row r="9">
      <c r="A9" s="21" t="s">
        <v>43</v>
      </c>
      <c r="B9" s="23">
        <v>352.5</v>
      </c>
      <c r="C9" s="21" t="s">
        <v>101</v>
      </c>
      <c r="D9" s="23">
        <v>0.0</v>
      </c>
      <c r="E9" s="31"/>
      <c r="F9" s="26"/>
      <c r="G9" s="25"/>
      <c r="H9" s="26"/>
      <c r="I9" s="25"/>
      <c r="J9" s="26"/>
      <c r="K9" s="11"/>
      <c r="L9" s="66"/>
      <c r="M9" s="11"/>
    </row>
    <row r="10">
      <c r="A10" s="76" t="s">
        <v>102</v>
      </c>
      <c r="B10" s="23">
        <v>295.0</v>
      </c>
      <c r="C10" s="21" t="s">
        <v>283</v>
      </c>
      <c r="D10" s="23">
        <v>45.0</v>
      </c>
      <c r="E10" s="25"/>
      <c r="F10" s="26"/>
      <c r="G10" s="25"/>
      <c r="H10" s="26"/>
      <c r="I10" s="25"/>
      <c r="J10" s="26"/>
      <c r="K10" s="11"/>
    </row>
    <row r="11">
      <c r="A11" s="21" t="s">
        <v>104</v>
      </c>
      <c r="B11" s="23"/>
      <c r="C11" s="21" t="s">
        <v>129</v>
      </c>
      <c r="D11" s="23">
        <v>24.9</v>
      </c>
      <c r="E11" s="31"/>
      <c r="F11" s="26"/>
      <c r="G11" s="31"/>
      <c r="H11" s="26"/>
      <c r="I11" s="25"/>
      <c r="J11" s="26"/>
      <c r="K11" s="11"/>
      <c r="L11" s="66"/>
      <c r="M11" s="11"/>
    </row>
    <row r="12">
      <c r="A12" s="32"/>
      <c r="B12" s="33"/>
      <c r="C12" s="21"/>
      <c r="D12" s="23"/>
      <c r="E12" s="31"/>
      <c r="F12" s="26"/>
      <c r="G12" s="31"/>
      <c r="H12" s="26"/>
      <c r="I12" s="31"/>
      <c r="J12" s="26"/>
      <c r="K12" s="11"/>
      <c r="L12" s="28">
        <f>SUM(L7:L11)</f>
        <v>10231</v>
      </c>
      <c r="M12" s="11"/>
    </row>
    <row r="13">
      <c r="A13" s="31"/>
      <c r="B13" s="23"/>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1492.14</v>
      </c>
      <c r="C15" s="25" t="s">
        <v>50</v>
      </c>
      <c r="D15" s="26">
        <f>SUM(D4:D14)</f>
        <v>193.95</v>
      </c>
      <c r="E15" s="39" t="s">
        <v>50</v>
      </c>
      <c r="F15" s="40">
        <f>SUM(F4:F14)</f>
        <v>583</v>
      </c>
      <c r="G15" s="39" t="s">
        <v>50</v>
      </c>
      <c r="H15" s="40">
        <f>SUM(H4:H14)</f>
        <v>0</v>
      </c>
      <c r="I15" s="39" t="s">
        <v>50</v>
      </c>
      <c r="J15" s="40">
        <f>SUM(J4:J14)</f>
        <v>0</v>
      </c>
      <c r="K15" s="11"/>
      <c r="L15" s="11"/>
      <c r="M15" s="11"/>
    </row>
    <row r="16">
      <c r="A16" s="41" t="s">
        <v>51</v>
      </c>
      <c r="B16" s="17"/>
      <c r="C16" s="102" t="s">
        <v>286</v>
      </c>
      <c r="D16" s="42"/>
      <c r="E16" s="42"/>
      <c r="F16" s="42"/>
      <c r="G16" s="11"/>
      <c r="H16" s="42"/>
      <c r="I16" s="42"/>
      <c r="J16" s="42"/>
      <c r="K16" s="42"/>
      <c r="L16" s="42"/>
      <c r="M16" s="42"/>
    </row>
    <row r="17">
      <c r="A17" s="126" t="s">
        <v>52</v>
      </c>
      <c r="B17" s="88">
        <v>193.18</v>
      </c>
      <c r="C17" s="106">
        <v>46045.0</v>
      </c>
      <c r="D17" s="44" t="s">
        <v>53</v>
      </c>
      <c r="E17" s="17"/>
      <c r="F17" s="18"/>
      <c r="G17" s="45"/>
      <c r="H17" s="46" t="s">
        <v>54</v>
      </c>
      <c r="M17" s="47"/>
      <c r="N17" s="86">
        <v>235.0</v>
      </c>
      <c r="O17" s="86" t="s">
        <v>288</v>
      </c>
    </row>
    <row r="18">
      <c r="A18" s="116" t="s">
        <v>55</v>
      </c>
      <c r="B18" s="117">
        <v>900.14</v>
      </c>
      <c r="C18" s="106">
        <v>46162.0</v>
      </c>
      <c r="D18" s="51" t="s">
        <v>56</v>
      </c>
      <c r="E18" s="52">
        <v>10387.0</v>
      </c>
      <c r="F18" s="18"/>
      <c r="G18" s="45"/>
      <c r="M18" s="47"/>
      <c r="N18" s="86">
        <v>205.0</v>
      </c>
      <c r="O18" s="86" t="s">
        <v>289</v>
      </c>
    </row>
    <row r="19">
      <c r="A19" s="126" t="s">
        <v>57</v>
      </c>
      <c r="B19" s="88">
        <v>516.15</v>
      </c>
      <c r="C19" s="106">
        <v>46162.0</v>
      </c>
      <c r="D19" s="56" t="s">
        <v>58</v>
      </c>
      <c r="E19" s="107">
        <v>0.55</v>
      </c>
      <c r="F19" s="58">
        <f>E18*E19</f>
        <v>5712.85</v>
      </c>
      <c r="G19" s="45"/>
      <c r="M19" s="47"/>
      <c r="N19" s="86">
        <v>100.0</v>
      </c>
      <c r="O19" s="86" t="s">
        <v>35</v>
      </c>
    </row>
    <row r="20">
      <c r="A20" s="133" t="s">
        <v>59</v>
      </c>
      <c r="B20" s="134">
        <v>60.73</v>
      </c>
      <c r="C20" s="106">
        <v>46162.0</v>
      </c>
      <c r="D20" s="74" t="s">
        <v>79</v>
      </c>
      <c r="E20" s="60">
        <v>0.05</v>
      </c>
      <c r="F20" s="58">
        <f>E18*E20</f>
        <v>519.35</v>
      </c>
      <c r="G20" s="45"/>
      <c r="M20" s="47"/>
      <c r="N20" s="86">
        <v>535.0</v>
      </c>
      <c r="O20" s="86" t="s">
        <v>290</v>
      </c>
    </row>
    <row r="21">
      <c r="A21" s="21" t="s">
        <v>61</v>
      </c>
      <c r="B21" s="23">
        <v>1103.78</v>
      </c>
      <c r="C21" s="106">
        <v>46162.0</v>
      </c>
      <c r="D21" s="74" t="s">
        <v>87</v>
      </c>
      <c r="E21" s="60">
        <v>0.2</v>
      </c>
      <c r="F21" s="58">
        <f>E18*E21</f>
        <v>2077.4</v>
      </c>
      <c r="G21" s="45"/>
      <c r="M21" s="47"/>
    </row>
    <row r="22">
      <c r="A22" s="25"/>
      <c r="B22" s="23"/>
      <c r="C22" s="135"/>
      <c r="D22" s="56" t="s">
        <v>63</v>
      </c>
      <c r="E22" s="57">
        <v>0.1</v>
      </c>
      <c r="F22" s="58">
        <f>E18*E22</f>
        <v>1038.7</v>
      </c>
      <c r="G22" s="45"/>
      <c r="M22" s="47"/>
    </row>
    <row r="23">
      <c r="A23" s="25"/>
      <c r="B23" s="26"/>
      <c r="C23" s="50"/>
      <c r="D23" s="56" t="s">
        <v>64</v>
      </c>
      <c r="E23" s="60">
        <v>0.1</v>
      </c>
      <c r="F23" s="58">
        <f>E18*E23</f>
        <v>1038.7</v>
      </c>
      <c r="G23" s="45"/>
      <c r="M23" s="47"/>
    </row>
    <row r="24">
      <c r="A24" s="25"/>
      <c r="B24" s="26"/>
      <c r="C24" s="50"/>
      <c r="D24" s="62" t="s">
        <v>65</v>
      </c>
      <c r="E24" s="47"/>
      <c r="F24" s="63">
        <f>SUM(F19:F23)</f>
        <v>10387</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4266.12</v>
      </c>
      <c r="C27" s="11"/>
      <c r="D27" s="11"/>
      <c r="E27" s="11"/>
      <c r="F27" s="11"/>
      <c r="G27" s="45"/>
      <c r="H27" s="17"/>
      <c r="I27" s="17"/>
      <c r="J27" s="17"/>
      <c r="K27" s="17"/>
      <c r="L27" s="17"/>
      <c r="M27" s="18"/>
    </row>
    <row r="31">
      <c r="A31" s="91" t="s">
        <v>132</v>
      </c>
      <c r="B31" s="92">
        <f>SUM(B17:B26)</f>
        <v>2773.98</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s>
  <sheetData>
    <row r="1">
      <c r="A1" s="7" t="s">
        <v>23</v>
      </c>
      <c r="B1" s="8">
        <f>F19</f>
        <v>5712.85</v>
      </c>
      <c r="C1" s="7" t="s">
        <v>23</v>
      </c>
      <c r="D1" s="8">
        <f>F20</f>
        <v>519.35</v>
      </c>
      <c r="E1" s="7" t="s">
        <v>23</v>
      </c>
      <c r="F1" s="8">
        <f>F21</f>
        <v>2077.4</v>
      </c>
      <c r="G1" s="7" t="s">
        <v>23</v>
      </c>
      <c r="H1" s="8">
        <f>F22</f>
        <v>1038.7</v>
      </c>
      <c r="I1" s="7" t="s">
        <v>23</v>
      </c>
      <c r="J1" s="8">
        <f>F23</f>
        <v>1038.7</v>
      </c>
      <c r="K1" s="9" t="s">
        <v>24</v>
      </c>
      <c r="L1" s="10">
        <f t="shared" ref="L1:L2" si="1">SUM(B1,D1,F1,H1,J1)</f>
        <v>10387</v>
      </c>
      <c r="M1" s="11"/>
    </row>
    <row r="2">
      <c r="A2" s="12" t="s">
        <v>25</v>
      </c>
      <c r="B2" s="13">
        <f>B1-B27</f>
        <v>1721.23</v>
      </c>
      <c r="C2" s="12" t="s">
        <v>25</v>
      </c>
      <c r="D2" s="13">
        <f>D1-D15</f>
        <v>325.4</v>
      </c>
      <c r="E2" s="12" t="s">
        <v>25</v>
      </c>
      <c r="F2" s="13">
        <f>F1-F15</f>
        <v>1494.4</v>
      </c>
      <c r="G2" s="12" t="s">
        <v>25</v>
      </c>
      <c r="H2" s="13">
        <f>H1-H15</f>
        <v>1038.7</v>
      </c>
      <c r="I2" s="12" t="s">
        <v>25</v>
      </c>
      <c r="J2" s="13">
        <f>J1-J15</f>
        <v>1038.7</v>
      </c>
      <c r="K2" s="14" t="s">
        <v>26</v>
      </c>
      <c r="L2" s="15">
        <f t="shared" si="1"/>
        <v>5618.43</v>
      </c>
      <c r="M2" s="11"/>
    </row>
    <row r="3">
      <c r="A3" s="16" t="s">
        <v>27</v>
      </c>
      <c r="B3" s="17"/>
      <c r="C3" s="71" t="s">
        <v>77</v>
      </c>
      <c r="D3" s="18"/>
      <c r="E3" s="71" t="s">
        <v>80</v>
      </c>
      <c r="F3" s="18"/>
      <c r="G3" s="16" t="s">
        <v>30</v>
      </c>
      <c r="H3" s="18"/>
      <c r="I3" s="16" t="s">
        <v>31</v>
      </c>
      <c r="J3" s="18"/>
      <c r="M3" s="11"/>
    </row>
    <row r="4">
      <c r="A4" s="21" t="s">
        <v>32</v>
      </c>
      <c r="B4" s="23">
        <v>127.0</v>
      </c>
      <c r="C4" s="21" t="s">
        <v>34</v>
      </c>
      <c r="D4" s="23">
        <v>18.0</v>
      </c>
      <c r="E4" s="21" t="s">
        <v>99</v>
      </c>
      <c r="F4" s="23">
        <v>300.0</v>
      </c>
      <c r="G4" s="21"/>
      <c r="H4" s="22"/>
      <c r="I4" s="25"/>
      <c r="J4" s="26"/>
      <c r="K4" s="11"/>
      <c r="L4" s="35"/>
      <c r="M4" s="11"/>
    </row>
    <row r="5">
      <c r="A5" s="111" t="s">
        <v>35</v>
      </c>
      <c r="B5" s="112">
        <v>100.0</v>
      </c>
      <c r="C5" s="21" t="s">
        <v>36</v>
      </c>
      <c r="D5" s="23">
        <v>18.65</v>
      </c>
      <c r="E5" s="21" t="s">
        <v>320</v>
      </c>
      <c r="F5" s="23">
        <v>283.0</v>
      </c>
      <c r="G5" s="25"/>
      <c r="H5" s="26"/>
      <c r="I5" s="25"/>
      <c r="J5" s="26"/>
      <c r="K5" s="11"/>
      <c r="L5" s="11"/>
      <c r="M5" s="11"/>
    </row>
    <row r="6">
      <c r="A6" s="21" t="s">
        <v>37</v>
      </c>
      <c r="B6" s="23">
        <v>139.64</v>
      </c>
      <c r="C6" s="21" t="s">
        <v>100</v>
      </c>
      <c r="D6" s="23">
        <v>55.9</v>
      </c>
      <c r="E6" s="21"/>
      <c r="F6" s="23"/>
      <c r="G6" s="25"/>
      <c r="H6" s="26"/>
      <c r="I6" s="25"/>
      <c r="J6" s="26"/>
      <c r="K6" s="11"/>
      <c r="L6" s="28"/>
      <c r="M6" s="11"/>
    </row>
    <row r="7">
      <c r="A7" s="21" t="s">
        <v>91</v>
      </c>
      <c r="B7" s="23">
        <v>239.0</v>
      </c>
      <c r="C7" s="21" t="s">
        <v>40</v>
      </c>
      <c r="D7" s="23">
        <v>19.9</v>
      </c>
      <c r="E7" s="25"/>
      <c r="F7" s="26"/>
      <c r="G7" s="25"/>
      <c r="H7" s="26"/>
      <c r="I7" s="25"/>
      <c r="J7" s="26"/>
      <c r="K7" s="11"/>
      <c r="L7" s="66">
        <v>4864.0</v>
      </c>
      <c r="M7" s="66">
        <v>4864.0</v>
      </c>
    </row>
    <row r="8">
      <c r="A8" s="21" t="s">
        <v>92</v>
      </c>
      <c r="B8" s="23">
        <v>239.0</v>
      </c>
      <c r="C8" s="21" t="s">
        <v>44</v>
      </c>
      <c r="D8" s="23">
        <v>11.6</v>
      </c>
      <c r="E8" s="31"/>
      <c r="F8" s="26"/>
      <c r="G8" s="25"/>
      <c r="H8" s="26"/>
      <c r="I8" s="25"/>
      <c r="J8" s="26"/>
      <c r="K8" s="28"/>
      <c r="L8" s="66">
        <v>5367.0</v>
      </c>
      <c r="M8" s="35">
        <v>6205.0</v>
      </c>
    </row>
    <row r="9">
      <c r="A9" s="21" t="s">
        <v>43</v>
      </c>
      <c r="B9" s="23">
        <v>352.5</v>
      </c>
      <c r="C9" s="21" t="s">
        <v>101</v>
      </c>
      <c r="D9" s="23">
        <v>0.0</v>
      </c>
      <c r="E9" s="31"/>
      <c r="F9" s="26"/>
      <c r="G9" s="25"/>
      <c r="H9" s="26"/>
      <c r="I9" s="25"/>
      <c r="J9" s="26"/>
      <c r="K9" s="11"/>
      <c r="L9" s="66"/>
      <c r="M9" s="11"/>
    </row>
    <row r="10">
      <c r="A10" s="76" t="s">
        <v>102</v>
      </c>
      <c r="B10" s="23">
        <v>295.0</v>
      </c>
      <c r="C10" s="21" t="s">
        <v>283</v>
      </c>
      <c r="D10" s="23">
        <v>45.0</v>
      </c>
      <c r="E10" s="25"/>
      <c r="F10" s="26"/>
      <c r="G10" s="25"/>
      <c r="H10" s="26"/>
      <c r="I10" s="25"/>
      <c r="J10" s="26"/>
      <c r="K10" s="11"/>
    </row>
    <row r="11">
      <c r="A11" s="21" t="s">
        <v>104</v>
      </c>
      <c r="B11" s="23"/>
      <c r="C11" s="21" t="s">
        <v>129</v>
      </c>
      <c r="D11" s="23">
        <v>24.9</v>
      </c>
      <c r="E11" s="31"/>
      <c r="F11" s="26"/>
      <c r="G11" s="31"/>
      <c r="H11" s="26"/>
      <c r="I11" s="25"/>
      <c r="J11" s="26"/>
      <c r="K11" s="11"/>
      <c r="L11" s="66"/>
      <c r="M11" s="11"/>
    </row>
    <row r="12">
      <c r="A12" s="32"/>
      <c r="B12" s="33"/>
      <c r="C12" s="21"/>
      <c r="D12" s="23"/>
      <c r="E12" s="31"/>
      <c r="F12" s="26"/>
      <c r="G12" s="31"/>
      <c r="H12" s="26"/>
      <c r="I12" s="31"/>
      <c r="J12" s="26"/>
      <c r="K12" s="11"/>
      <c r="L12" s="28">
        <f>SUM(L7:L11)</f>
        <v>10231</v>
      </c>
      <c r="M12" s="11"/>
    </row>
    <row r="13">
      <c r="A13" s="31"/>
      <c r="B13" s="23"/>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1492.14</v>
      </c>
      <c r="C15" s="25" t="s">
        <v>50</v>
      </c>
      <c r="D15" s="26">
        <f>SUM(D4:D14)</f>
        <v>193.95</v>
      </c>
      <c r="E15" s="39" t="s">
        <v>50</v>
      </c>
      <c r="F15" s="40">
        <f>SUM(F4:F14)</f>
        <v>583</v>
      </c>
      <c r="G15" s="39" t="s">
        <v>50</v>
      </c>
      <c r="H15" s="40">
        <f>SUM(H4:H14)</f>
        <v>0</v>
      </c>
      <c r="I15" s="39" t="s">
        <v>50</v>
      </c>
      <c r="J15" s="40">
        <f>SUM(J4:J14)</f>
        <v>0</v>
      </c>
      <c r="K15" s="11"/>
      <c r="L15" s="11"/>
      <c r="M15" s="11"/>
    </row>
    <row r="16">
      <c r="A16" s="41" t="s">
        <v>51</v>
      </c>
      <c r="B16" s="17"/>
      <c r="C16" s="102" t="s">
        <v>286</v>
      </c>
      <c r="D16" s="42"/>
      <c r="E16" s="42"/>
      <c r="F16" s="42"/>
      <c r="G16" s="11"/>
      <c r="H16" s="42"/>
      <c r="I16" s="42"/>
      <c r="J16" s="42"/>
      <c r="K16" s="42"/>
      <c r="L16" s="42"/>
      <c r="M16" s="42"/>
    </row>
    <row r="17">
      <c r="A17" s="126" t="s">
        <v>52</v>
      </c>
      <c r="B17" s="88">
        <v>116.13</v>
      </c>
      <c r="C17" s="106">
        <v>46045.0</v>
      </c>
      <c r="D17" s="44" t="s">
        <v>53</v>
      </c>
      <c r="E17" s="17"/>
      <c r="F17" s="18"/>
      <c r="G17" s="45"/>
      <c r="H17" s="46" t="s">
        <v>54</v>
      </c>
      <c r="M17" s="47"/>
      <c r="N17" s="86">
        <v>235.0</v>
      </c>
      <c r="O17" s="86" t="s">
        <v>288</v>
      </c>
    </row>
    <row r="18">
      <c r="A18" s="116" t="s">
        <v>55</v>
      </c>
      <c r="B18" s="117">
        <v>900.14</v>
      </c>
      <c r="C18" s="106">
        <v>46162.0</v>
      </c>
      <c r="D18" s="51" t="s">
        <v>56</v>
      </c>
      <c r="E18" s="52">
        <v>10387.0</v>
      </c>
      <c r="F18" s="18"/>
      <c r="G18" s="45"/>
      <c r="M18" s="47"/>
      <c r="N18" s="86">
        <v>205.0</v>
      </c>
      <c r="O18" s="86" t="s">
        <v>289</v>
      </c>
    </row>
    <row r="19">
      <c r="A19" s="126" t="s">
        <v>57</v>
      </c>
      <c r="B19" s="88">
        <v>405.44</v>
      </c>
      <c r="C19" s="106">
        <v>46162.0</v>
      </c>
      <c r="D19" s="56" t="s">
        <v>58</v>
      </c>
      <c r="E19" s="107">
        <v>0.55</v>
      </c>
      <c r="F19" s="58">
        <f>E18*E19</f>
        <v>5712.85</v>
      </c>
      <c r="G19" s="45"/>
      <c r="M19" s="47"/>
      <c r="N19" s="86">
        <v>100.0</v>
      </c>
      <c r="O19" s="86" t="s">
        <v>35</v>
      </c>
    </row>
    <row r="20">
      <c r="A20" s="133" t="s">
        <v>59</v>
      </c>
      <c r="B20" s="134">
        <v>4.23</v>
      </c>
      <c r="C20" s="106">
        <v>46162.0</v>
      </c>
      <c r="D20" s="74" t="s">
        <v>79</v>
      </c>
      <c r="E20" s="60">
        <v>0.05</v>
      </c>
      <c r="F20" s="58">
        <f>E18*E20</f>
        <v>519.35</v>
      </c>
      <c r="G20" s="45"/>
      <c r="M20" s="47"/>
      <c r="N20" s="86">
        <v>535.0</v>
      </c>
      <c r="O20" s="86" t="s">
        <v>290</v>
      </c>
    </row>
    <row r="21">
      <c r="A21" s="21" t="s">
        <v>61</v>
      </c>
      <c r="B21" s="23">
        <v>1073.54</v>
      </c>
      <c r="C21" s="106">
        <v>46162.0</v>
      </c>
      <c r="D21" s="74" t="s">
        <v>87</v>
      </c>
      <c r="E21" s="60">
        <v>0.2</v>
      </c>
      <c r="F21" s="58">
        <f>E18*E21</f>
        <v>2077.4</v>
      </c>
      <c r="G21" s="45"/>
      <c r="M21" s="47"/>
    </row>
    <row r="22">
      <c r="A22" s="25"/>
      <c r="B22" s="23"/>
      <c r="C22" s="135"/>
      <c r="D22" s="56" t="s">
        <v>63</v>
      </c>
      <c r="E22" s="57">
        <v>0.1</v>
      </c>
      <c r="F22" s="58">
        <f>E18*E22</f>
        <v>1038.7</v>
      </c>
      <c r="G22" s="45"/>
      <c r="M22" s="47"/>
    </row>
    <row r="23">
      <c r="A23" s="25"/>
      <c r="B23" s="26"/>
      <c r="C23" s="50"/>
      <c r="D23" s="56" t="s">
        <v>64</v>
      </c>
      <c r="E23" s="60">
        <v>0.1</v>
      </c>
      <c r="F23" s="58">
        <f>E18*E23</f>
        <v>1038.7</v>
      </c>
      <c r="G23" s="45"/>
      <c r="M23" s="47"/>
    </row>
    <row r="24">
      <c r="A24" s="25"/>
      <c r="B24" s="26"/>
      <c r="C24" s="50"/>
      <c r="D24" s="62" t="s">
        <v>65</v>
      </c>
      <c r="E24" s="47"/>
      <c r="F24" s="63">
        <f>SUM(F19:F23)</f>
        <v>10387</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3991.62</v>
      </c>
      <c r="C27" s="11"/>
      <c r="D27" s="11"/>
      <c r="E27" s="11"/>
      <c r="F27" s="11"/>
      <c r="G27" s="45"/>
      <c r="H27" s="17"/>
      <c r="I27" s="17"/>
      <c r="J27" s="17"/>
      <c r="K27" s="17"/>
      <c r="L27" s="17"/>
      <c r="M27" s="18"/>
    </row>
    <row r="31">
      <c r="A31" s="91" t="s">
        <v>132</v>
      </c>
      <c r="B31" s="92">
        <f>SUM(B17:B26)</f>
        <v>2499.48</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14"/>
    <col customWidth="1" min="3" max="3" width="22.29"/>
    <col customWidth="1" min="5" max="5" width="23.0"/>
    <col customWidth="1" min="9" max="9" width="20.43"/>
  </cols>
  <sheetData>
    <row r="1">
      <c r="A1" s="7" t="s">
        <v>23</v>
      </c>
      <c r="B1" s="8">
        <f>F19</f>
        <v>7150</v>
      </c>
      <c r="C1" s="7" t="s">
        <v>23</v>
      </c>
      <c r="D1" s="8">
        <f>F20</f>
        <v>650</v>
      </c>
      <c r="E1" s="7" t="s">
        <v>23</v>
      </c>
      <c r="F1" s="8">
        <f>F21</f>
        <v>2600</v>
      </c>
      <c r="G1" s="7" t="s">
        <v>23</v>
      </c>
      <c r="H1" s="8">
        <f>F22</f>
        <v>1300</v>
      </c>
      <c r="I1" s="7" t="s">
        <v>23</v>
      </c>
      <c r="J1" s="8">
        <f>F23</f>
        <v>1300</v>
      </c>
      <c r="K1" s="9" t="s">
        <v>24</v>
      </c>
      <c r="L1" s="10">
        <f t="shared" ref="L1:L2" si="1">SUM(B1,D1,F1,H1,J1)</f>
        <v>13000</v>
      </c>
      <c r="M1" s="11"/>
    </row>
    <row r="2">
      <c r="A2" s="12" t="s">
        <v>25</v>
      </c>
      <c r="B2" s="13">
        <f>B1-B27</f>
        <v>3952.31</v>
      </c>
      <c r="C2" s="12" t="s">
        <v>25</v>
      </c>
      <c r="D2" s="13">
        <f>D1-D15</f>
        <v>456.05</v>
      </c>
      <c r="E2" s="12" t="s">
        <v>25</v>
      </c>
      <c r="F2" s="13">
        <f>F1-F15</f>
        <v>2017</v>
      </c>
      <c r="G2" s="12" t="s">
        <v>25</v>
      </c>
      <c r="H2" s="13">
        <f>H1-H15</f>
        <v>1300</v>
      </c>
      <c r="I2" s="12" t="s">
        <v>25</v>
      </c>
      <c r="J2" s="13">
        <f>J1-J15</f>
        <v>1300</v>
      </c>
      <c r="K2" s="14" t="s">
        <v>26</v>
      </c>
      <c r="L2" s="15">
        <f t="shared" si="1"/>
        <v>9025.36</v>
      </c>
      <c r="M2" s="11"/>
    </row>
    <row r="3">
      <c r="A3" s="16" t="s">
        <v>27</v>
      </c>
      <c r="B3" s="17"/>
      <c r="C3" s="71" t="s">
        <v>77</v>
      </c>
      <c r="D3" s="18"/>
      <c r="E3" s="71" t="s">
        <v>80</v>
      </c>
      <c r="F3" s="18"/>
      <c r="G3" s="16" t="s">
        <v>30</v>
      </c>
      <c r="H3" s="18"/>
      <c r="I3" s="16" t="s">
        <v>31</v>
      </c>
      <c r="J3" s="18"/>
      <c r="M3" s="11"/>
    </row>
    <row r="4">
      <c r="A4" s="21" t="s">
        <v>32</v>
      </c>
      <c r="B4" s="23">
        <v>127.0</v>
      </c>
      <c r="C4" s="21" t="s">
        <v>34</v>
      </c>
      <c r="D4" s="23">
        <v>18.0</v>
      </c>
      <c r="E4" s="21" t="s">
        <v>99</v>
      </c>
      <c r="F4" s="23">
        <v>300.0</v>
      </c>
      <c r="G4" s="21"/>
      <c r="H4" s="22"/>
      <c r="I4" s="25"/>
      <c r="J4" s="26"/>
      <c r="K4" s="11"/>
      <c r="L4" s="35"/>
      <c r="M4" s="11"/>
    </row>
    <row r="5">
      <c r="A5" s="111" t="s">
        <v>35</v>
      </c>
      <c r="B5" s="112">
        <v>100.0</v>
      </c>
      <c r="C5" s="21" t="s">
        <v>36</v>
      </c>
      <c r="D5" s="23">
        <v>18.65</v>
      </c>
      <c r="E5" s="21" t="s">
        <v>320</v>
      </c>
      <c r="F5" s="23">
        <v>283.0</v>
      </c>
      <c r="G5" s="25"/>
      <c r="H5" s="26"/>
      <c r="I5" s="25"/>
      <c r="J5" s="26"/>
      <c r="K5" s="11"/>
      <c r="L5" s="11"/>
      <c r="M5" s="11"/>
    </row>
    <row r="6">
      <c r="A6" s="21" t="s">
        <v>37</v>
      </c>
      <c r="B6" s="23">
        <v>139.64</v>
      </c>
      <c r="C6" s="21" t="s">
        <v>100</v>
      </c>
      <c r="D6" s="23">
        <v>55.9</v>
      </c>
      <c r="E6" s="21"/>
      <c r="F6" s="23"/>
      <c r="G6" s="25"/>
      <c r="H6" s="26"/>
      <c r="I6" s="25"/>
      <c r="J6" s="26"/>
      <c r="K6" s="11"/>
      <c r="L6" s="28"/>
      <c r="M6" s="11"/>
    </row>
    <row r="7">
      <c r="A7" s="21" t="s">
        <v>91</v>
      </c>
      <c r="B7" s="23">
        <v>239.0</v>
      </c>
      <c r="C7" s="21" t="s">
        <v>40</v>
      </c>
      <c r="D7" s="23">
        <v>19.9</v>
      </c>
      <c r="E7" s="25"/>
      <c r="F7" s="26"/>
      <c r="G7" s="25"/>
      <c r="H7" s="26"/>
      <c r="I7" s="25"/>
      <c r="J7" s="26"/>
      <c r="K7" s="11"/>
      <c r="L7" s="66">
        <v>4864.0</v>
      </c>
      <c r="M7" s="66"/>
      <c r="N7" s="86">
        <v>3034.0</v>
      </c>
      <c r="O7" s="86" t="s">
        <v>356</v>
      </c>
    </row>
    <row r="8">
      <c r="A8" s="21" t="s">
        <v>92</v>
      </c>
      <c r="B8" s="23">
        <v>239.0</v>
      </c>
      <c r="C8" s="21" t="s">
        <v>44</v>
      </c>
      <c r="D8" s="23">
        <v>11.6</v>
      </c>
      <c r="E8" s="31"/>
      <c r="F8" s="26"/>
      <c r="G8" s="25"/>
      <c r="H8" s="26"/>
      <c r="I8" s="25"/>
      <c r="J8" s="26"/>
      <c r="K8" s="28"/>
      <c r="L8" s="66">
        <v>5367.0</v>
      </c>
      <c r="M8" s="35"/>
    </row>
    <row r="9">
      <c r="A9" s="21" t="s">
        <v>43</v>
      </c>
      <c r="B9" s="23">
        <v>352.5</v>
      </c>
      <c r="C9" s="21" t="s">
        <v>101</v>
      </c>
      <c r="D9" s="23">
        <v>0.0</v>
      </c>
      <c r="E9" s="31"/>
      <c r="F9" s="26"/>
      <c r="G9" s="25"/>
      <c r="H9" s="26"/>
      <c r="I9" s="25"/>
      <c r="J9" s="26"/>
      <c r="K9" s="11"/>
      <c r="L9" s="66"/>
      <c r="M9" s="11"/>
    </row>
    <row r="10">
      <c r="A10" s="76" t="s">
        <v>102</v>
      </c>
      <c r="B10" s="23">
        <v>295.0</v>
      </c>
      <c r="C10" s="21" t="s">
        <v>283</v>
      </c>
      <c r="D10" s="23">
        <v>45.0</v>
      </c>
      <c r="E10" s="25"/>
      <c r="F10" s="26"/>
      <c r="G10" s="25"/>
      <c r="H10" s="26"/>
      <c r="I10" s="25"/>
      <c r="J10" s="26"/>
      <c r="K10" s="11"/>
    </row>
    <row r="11">
      <c r="A11" s="21" t="s">
        <v>104</v>
      </c>
      <c r="B11" s="23"/>
      <c r="C11" s="21" t="s">
        <v>129</v>
      </c>
      <c r="D11" s="23">
        <v>24.9</v>
      </c>
      <c r="E11" s="31"/>
      <c r="F11" s="26"/>
      <c r="G11" s="31"/>
      <c r="H11" s="26"/>
      <c r="I11" s="25"/>
      <c r="J11" s="26"/>
      <c r="K11" s="11"/>
      <c r="L11" s="66"/>
      <c r="M11" s="11"/>
    </row>
    <row r="12">
      <c r="A12" s="32"/>
      <c r="B12" s="33"/>
      <c r="C12" s="21"/>
      <c r="D12" s="23"/>
      <c r="E12" s="31"/>
      <c r="F12" s="26"/>
      <c r="G12" s="31"/>
      <c r="H12" s="26"/>
      <c r="I12" s="31"/>
      <c r="J12" s="26"/>
      <c r="K12" s="11"/>
      <c r="L12" s="28">
        <f>SUM(L7:L11)</f>
        <v>10231</v>
      </c>
      <c r="M12" s="11"/>
    </row>
    <row r="13">
      <c r="A13" s="31"/>
      <c r="B13" s="23"/>
      <c r="C13" s="31"/>
      <c r="D13" s="26"/>
      <c r="E13" s="31"/>
      <c r="F13" s="26"/>
      <c r="G13" s="31"/>
      <c r="H13" s="26"/>
      <c r="I13" s="31"/>
      <c r="J13" s="26"/>
      <c r="K13" s="11"/>
      <c r="L13" s="28"/>
      <c r="M13" s="11"/>
    </row>
    <row r="14">
      <c r="A14" s="31"/>
      <c r="B14" s="26"/>
      <c r="C14" s="31"/>
      <c r="D14" s="26"/>
      <c r="E14" s="31"/>
      <c r="F14" s="26"/>
      <c r="G14" s="31"/>
      <c r="H14" s="26"/>
      <c r="I14" s="31"/>
      <c r="J14" s="26"/>
      <c r="K14" s="11"/>
      <c r="L14" s="11"/>
      <c r="M14" s="11"/>
    </row>
    <row r="15">
      <c r="A15" s="25" t="s">
        <v>49</v>
      </c>
      <c r="B15" s="38">
        <f>SUM(B4:B14)</f>
        <v>1492.14</v>
      </c>
      <c r="C15" s="25" t="s">
        <v>50</v>
      </c>
      <c r="D15" s="26">
        <f>SUM(D4:D14)</f>
        <v>193.95</v>
      </c>
      <c r="E15" s="39" t="s">
        <v>50</v>
      </c>
      <c r="F15" s="40">
        <f>SUM(F4:F14)</f>
        <v>583</v>
      </c>
      <c r="G15" s="39" t="s">
        <v>50</v>
      </c>
      <c r="H15" s="40">
        <f>SUM(H4:H14)</f>
        <v>0</v>
      </c>
      <c r="I15" s="39" t="s">
        <v>50</v>
      </c>
      <c r="J15" s="40">
        <f>SUM(J4:J14)</f>
        <v>0</v>
      </c>
      <c r="K15" s="11"/>
      <c r="L15" s="11"/>
      <c r="M15" s="11"/>
    </row>
    <row r="16">
      <c r="A16" s="41" t="s">
        <v>51</v>
      </c>
      <c r="B16" s="17"/>
      <c r="C16" s="102" t="s">
        <v>286</v>
      </c>
      <c r="D16" s="42"/>
      <c r="E16" s="42"/>
      <c r="F16" s="42"/>
      <c r="G16" s="11"/>
      <c r="H16" s="42"/>
      <c r="I16" s="42"/>
      <c r="J16" s="42"/>
      <c r="K16" s="42"/>
      <c r="L16" s="42"/>
      <c r="M16" s="42"/>
    </row>
    <row r="17">
      <c r="A17" s="126" t="s">
        <v>52</v>
      </c>
      <c r="B17" s="88">
        <v>116.13</v>
      </c>
      <c r="C17" s="106">
        <v>46045.0</v>
      </c>
      <c r="D17" s="44" t="s">
        <v>53</v>
      </c>
      <c r="E17" s="17"/>
      <c r="F17" s="18"/>
      <c r="G17" s="45"/>
      <c r="H17" s="46" t="s">
        <v>54</v>
      </c>
      <c r="M17" s="47"/>
      <c r="N17" s="86">
        <v>235.0</v>
      </c>
      <c r="O17" s="86" t="s">
        <v>288</v>
      </c>
    </row>
    <row r="18">
      <c r="A18" s="116" t="s">
        <v>55</v>
      </c>
      <c r="B18" s="117">
        <v>175.9</v>
      </c>
      <c r="C18" s="106">
        <v>46162.0</v>
      </c>
      <c r="D18" s="51" t="s">
        <v>56</v>
      </c>
      <c r="E18" s="52">
        <v>13000.0</v>
      </c>
      <c r="F18" s="18"/>
      <c r="G18" s="45"/>
      <c r="M18" s="47"/>
      <c r="N18" s="86">
        <v>205.0</v>
      </c>
      <c r="O18" s="86" t="s">
        <v>289</v>
      </c>
    </row>
    <row r="19">
      <c r="A19" s="126" t="s">
        <v>57</v>
      </c>
      <c r="B19" s="88">
        <v>405.44</v>
      </c>
      <c r="C19" s="106">
        <v>46162.0</v>
      </c>
      <c r="D19" s="56" t="s">
        <v>58</v>
      </c>
      <c r="E19" s="107">
        <v>0.55</v>
      </c>
      <c r="F19" s="58">
        <f>E18*E19</f>
        <v>7150</v>
      </c>
      <c r="G19" s="45"/>
      <c r="M19" s="47"/>
      <c r="N19" s="86">
        <v>100.0</v>
      </c>
      <c r="O19" s="86" t="s">
        <v>35</v>
      </c>
    </row>
    <row r="20">
      <c r="A20" s="133" t="s">
        <v>59</v>
      </c>
      <c r="B20" s="134">
        <v>4.23</v>
      </c>
      <c r="C20" s="106">
        <v>46162.0</v>
      </c>
      <c r="D20" s="74" t="s">
        <v>79</v>
      </c>
      <c r="E20" s="60">
        <v>0.05</v>
      </c>
      <c r="F20" s="58">
        <f>E18*E20</f>
        <v>650</v>
      </c>
      <c r="G20" s="45"/>
      <c r="M20" s="47"/>
      <c r="N20" s="86">
        <v>535.0</v>
      </c>
      <c r="O20" s="86" t="s">
        <v>290</v>
      </c>
    </row>
    <row r="21">
      <c r="A21" s="21" t="s">
        <v>61</v>
      </c>
      <c r="B21" s="23">
        <v>1003.85</v>
      </c>
      <c r="C21" s="106">
        <v>46162.0</v>
      </c>
      <c r="D21" s="74" t="s">
        <v>87</v>
      </c>
      <c r="E21" s="60">
        <v>0.2</v>
      </c>
      <c r="F21" s="58">
        <f>E18*E21</f>
        <v>2600</v>
      </c>
      <c r="G21" s="45"/>
      <c r="M21" s="47"/>
    </row>
    <row r="22">
      <c r="A22" s="25"/>
      <c r="B22" s="23"/>
      <c r="C22" s="135"/>
      <c r="D22" s="56" t="s">
        <v>63</v>
      </c>
      <c r="E22" s="57">
        <v>0.1</v>
      </c>
      <c r="F22" s="58">
        <f>E18*E22</f>
        <v>1300</v>
      </c>
      <c r="G22" s="45"/>
      <c r="M22" s="47"/>
    </row>
    <row r="23">
      <c r="A23" s="25"/>
      <c r="B23" s="26"/>
      <c r="C23" s="50"/>
      <c r="D23" s="56" t="s">
        <v>64</v>
      </c>
      <c r="E23" s="60">
        <v>0.1</v>
      </c>
      <c r="F23" s="58">
        <f>E18*E23</f>
        <v>1300</v>
      </c>
      <c r="G23" s="45"/>
      <c r="M23" s="47"/>
    </row>
    <row r="24">
      <c r="A24" s="25"/>
      <c r="B24" s="26"/>
      <c r="C24" s="50"/>
      <c r="D24" s="62" t="s">
        <v>65</v>
      </c>
      <c r="E24" s="47"/>
      <c r="F24" s="63">
        <f>SUM(F19:F23)</f>
        <v>13000</v>
      </c>
      <c r="G24" s="45"/>
      <c r="M24" s="47"/>
    </row>
    <row r="25">
      <c r="A25" s="31"/>
      <c r="B25" s="26"/>
      <c r="C25" s="35"/>
      <c r="D25" s="11"/>
      <c r="E25" s="11"/>
      <c r="F25" s="11"/>
      <c r="G25" s="45"/>
      <c r="M25" s="47"/>
    </row>
    <row r="26">
      <c r="A26" s="64"/>
      <c r="B26" s="65"/>
      <c r="C26" s="11"/>
      <c r="D26" s="11"/>
      <c r="E26" s="11"/>
      <c r="F26" s="11"/>
      <c r="G26" s="45"/>
      <c r="M26" s="47"/>
    </row>
    <row r="27">
      <c r="A27" s="64" t="s">
        <v>50</v>
      </c>
      <c r="B27" s="40">
        <f>SUM(B15,B17:B26)</f>
        <v>3197.69</v>
      </c>
      <c r="C27" s="11"/>
      <c r="D27" s="11"/>
      <c r="E27" s="11"/>
      <c r="F27" s="11"/>
      <c r="G27" s="45"/>
      <c r="H27" s="17"/>
      <c r="I27" s="17"/>
      <c r="J27" s="17"/>
      <c r="K27" s="17"/>
      <c r="L27" s="17"/>
      <c r="M27" s="18"/>
    </row>
    <row r="31">
      <c r="A31" s="91" t="s">
        <v>132</v>
      </c>
      <c r="B31" s="92">
        <f>SUM(B17:B26)</f>
        <v>1705.55</v>
      </c>
    </row>
  </sheetData>
  <mergeCells count="11">
    <mergeCell ref="D17:F17"/>
    <mergeCell ref="H17:M27"/>
    <mergeCell ref="E18:F18"/>
    <mergeCell ref="D24:E24"/>
    <mergeCell ref="A3:B3"/>
    <mergeCell ref="C3:D3"/>
    <mergeCell ref="E3:F3"/>
    <mergeCell ref="G3:H3"/>
    <mergeCell ref="I3:J3"/>
    <mergeCell ref="K3:L3"/>
    <mergeCell ref="A16:B16"/>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3.71"/>
    <col customWidth="1" min="2" max="2" width="29.86"/>
    <col customWidth="1" min="3" max="3" width="40.71"/>
    <col customWidth="1" min="4" max="4" width="19.29"/>
    <col customWidth="1" min="5" max="5" width="23.0"/>
    <col customWidth="1" min="6" max="6" width="21.43"/>
    <col customWidth="1" min="9" max="9" width="20.43"/>
  </cols>
  <sheetData>
    <row r="1">
      <c r="A1" s="136" t="s">
        <v>357</v>
      </c>
      <c r="B1" s="137"/>
      <c r="C1" s="137"/>
      <c r="D1" s="137"/>
      <c r="E1" s="138"/>
      <c r="F1" s="139"/>
      <c r="G1" s="139"/>
      <c r="H1" s="140"/>
      <c r="I1" s="141"/>
      <c r="J1" s="140"/>
      <c r="K1" s="142"/>
      <c r="L1" s="140"/>
      <c r="M1" s="143"/>
    </row>
    <row r="2">
      <c r="A2" s="144" t="s">
        <v>358</v>
      </c>
      <c r="B2" s="145" t="s">
        <v>359</v>
      </c>
      <c r="C2" s="146" t="s">
        <v>360</v>
      </c>
      <c r="D2" s="145" t="s">
        <v>361</v>
      </c>
      <c r="E2" s="147" t="s">
        <v>362</v>
      </c>
      <c r="F2" s="148"/>
      <c r="G2" s="149" t="s">
        <v>363</v>
      </c>
      <c r="H2" s="150" t="s">
        <v>364</v>
      </c>
      <c r="I2" s="149" t="s">
        <v>365</v>
      </c>
      <c r="J2" s="148"/>
      <c r="K2" s="142"/>
      <c r="L2" s="148"/>
      <c r="M2" s="143"/>
    </row>
    <row r="3">
      <c r="A3" s="151" t="s">
        <v>82</v>
      </c>
      <c r="B3" s="152" t="s">
        <v>366</v>
      </c>
      <c r="C3" s="152">
        <v>11955.94</v>
      </c>
      <c r="D3" s="153"/>
      <c r="E3" s="154" t="s">
        <v>367</v>
      </c>
      <c r="F3" s="155"/>
      <c r="G3" s="150">
        <v>17234.06</v>
      </c>
      <c r="H3" s="156">
        <v>1148.94</v>
      </c>
      <c r="I3" s="150">
        <v>11955.94</v>
      </c>
      <c r="J3" s="157"/>
      <c r="K3" s="158"/>
      <c r="M3" s="143"/>
    </row>
    <row r="4">
      <c r="A4" s="151" t="s">
        <v>300</v>
      </c>
      <c r="B4" s="152">
        <v>3266.0</v>
      </c>
      <c r="C4" s="152">
        <v>3266.0</v>
      </c>
      <c r="D4" s="159"/>
      <c r="E4" s="154" t="s">
        <v>367</v>
      </c>
      <c r="F4" s="156"/>
      <c r="G4" s="149"/>
      <c r="H4" s="150"/>
      <c r="I4" s="149"/>
      <c r="J4" s="160"/>
      <c r="K4" s="143"/>
      <c r="L4" s="143"/>
      <c r="M4" s="143"/>
    </row>
    <row r="5">
      <c r="A5" s="151" t="s">
        <v>368</v>
      </c>
      <c r="B5" s="152">
        <v>634.39</v>
      </c>
      <c r="C5" s="152">
        <v>2537.57</v>
      </c>
      <c r="D5" s="159"/>
      <c r="E5" s="154" t="s">
        <v>367</v>
      </c>
      <c r="F5" s="156"/>
      <c r="I5" s="141"/>
      <c r="J5" s="160"/>
      <c r="K5" s="143"/>
      <c r="L5" s="160"/>
      <c r="M5" s="143"/>
    </row>
    <row r="6">
      <c r="A6" s="151" t="s">
        <v>369</v>
      </c>
      <c r="B6" s="152">
        <v>1450.0</v>
      </c>
      <c r="C6" s="152">
        <v>71655.63</v>
      </c>
      <c r="D6" s="159"/>
      <c r="E6" s="154" t="s">
        <v>367</v>
      </c>
      <c r="F6" s="156"/>
      <c r="I6" s="161"/>
      <c r="J6" s="160"/>
      <c r="K6" s="143"/>
      <c r="L6" s="160"/>
      <c r="M6" s="143"/>
    </row>
    <row r="7">
      <c r="A7" s="151" t="s">
        <v>370</v>
      </c>
      <c r="B7" s="152">
        <v>600.0</v>
      </c>
      <c r="C7" s="152">
        <v>30339.31</v>
      </c>
      <c r="D7" s="159"/>
      <c r="E7" s="154" t="s">
        <v>367</v>
      </c>
      <c r="F7" s="157"/>
      <c r="I7" s="141"/>
      <c r="J7" s="160"/>
      <c r="K7" s="160"/>
      <c r="L7" s="160"/>
      <c r="M7" s="143"/>
    </row>
    <row r="8">
      <c r="A8" s="151" t="s">
        <v>371</v>
      </c>
      <c r="B8" s="152">
        <v>341.99</v>
      </c>
      <c r="C8" s="152">
        <v>6721.73</v>
      </c>
      <c r="D8" s="159"/>
      <c r="E8" s="154" t="s">
        <v>367</v>
      </c>
      <c r="F8" s="157"/>
      <c r="I8" s="141"/>
      <c r="J8" s="160"/>
      <c r="K8" s="143"/>
      <c r="L8" s="162"/>
      <c r="M8" s="143"/>
    </row>
    <row r="9">
      <c r="A9" s="151" t="s">
        <v>372</v>
      </c>
      <c r="B9" s="152">
        <v>267.95</v>
      </c>
      <c r="C9" s="152">
        <v>10862.04</v>
      </c>
      <c r="D9" s="159"/>
      <c r="E9" s="154" t="s">
        <v>367</v>
      </c>
      <c r="F9" s="157"/>
      <c r="I9" s="141"/>
      <c r="J9" s="160"/>
      <c r="K9" s="143"/>
      <c r="L9" s="162"/>
      <c r="M9" s="143"/>
    </row>
    <row r="10">
      <c r="A10" s="151" t="s">
        <v>373</v>
      </c>
      <c r="B10" s="152">
        <v>227.49</v>
      </c>
      <c r="C10" s="152">
        <v>8917.92</v>
      </c>
      <c r="D10" s="159"/>
      <c r="E10" s="154" t="s">
        <v>367</v>
      </c>
      <c r="F10" s="157"/>
      <c r="G10" s="143"/>
      <c r="H10" s="160"/>
      <c r="I10" s="141"/>
      <c r="J10" s="160"/>
      <c r="K10" s="143"/>
      <c r="L10" s="162"/>
      <c r="M10" s="143"/>
    </row>
    <row r="11">
      <c r="A11" s="151" t="s">
        <v>374</v>
      </c>
      <c r="B11" s="152">
        <v>600.0</v>
      </c>
      <c r="C11" s="152">
        <v>23675.96</v>
      </c>
      <c r="D11" s="159"/>
      <c r="E11" s="154" t="s">
        <v>367</v>
      </c>
      <c r="F11" s="157"/>
      <c r="G11" s="163">
        <v>2201.77</v>
      </c>
      <c r="H11" s="164" t="s">
        <v>375</v>
      </c>
      <c r="I11" s="143"/>
      <c r="J11" s="160"/>
      <c r="K11" s="143"/>
      <c r="L11" s="160"/>
      <c r="M11" s="143"/>
    </row>
    <row r="12">
      <c r="A12" s="165" t="s">
        <v>376</v>
      </c>
      <c r="B12" s="152">
        <v>2186.96</v>
      </c>
      <c r="C12" s="152">
        <v>4785.8</v>
      </c>
      <c r="D12" s="159"/>
      <c r="E12" s="154" t="s">
        <v>367</v>
      </c>
      <c r="F12" s="157"/>
      <c r="G12" s="166">
        <v>891.09</v>
      </c>
      <c r="H12" s="167" t="s">
        <v>377</v>
      </c>
      <c r="I12" s="143"/>
      <c r="J12" s="160"/>
      <c r="K12" s="143"/>
      <c r="L12" s="160"/>
      <c r="M12" s="143"/>
    </row>
    <row r="13">
      <c r="A13" s="165" t="s">
        <v>378</v>
      </c>
      <c r="B13" s="152">
        <v>802.67</v>
      </c>
      <c r="C13" s="152">
        <v>1638.11</v>
      </c>
      <c r="D13" s="168"/>
      <c r="E13" s="154" t="s">
        <v>367</v>
      </c>
      <c r="F13" s="156"/>
      <c r="G13" s="163">
        <v>4285.42</v>
      </c>
      <c r="H13" s="167" t="s">
        <v>379</v>
      </c>
      <c r="I13" s="143"/>
      <c r="J13" s="160"/>
      <c r="K13" s="143"/>
      <c r="L13" s="160"/>
      <c r="M13" s="143"/>
    </row>
    <row r="14">
      <c r="A14" s="165" t="s">
        <v>380</v>
      </c>
      <c r="B14" s="152">
        <v>1018.21</v>
      </c>
      <c r="C14" s="152">
        <v>5451.4</v>
      </c>
      <c r="D14" s="168"/>
      <c r="E14" s="154" t="s">
        <v>367</v>
      </c>
      <c r="F14" s="156"/>
      <c r="G14" s="163">
        <v>852.82</v>
      </c>
      <c r="H14" s="167" t="s">
        <v>377</v>
      </c>
      <c r="I14" s="143"/>
      <c r="J14" s="160"/>
      <c r="K14" s="143"/>
      <c r="L14" s="143"/>
      <c r="M14" s="143"/>
    </row>
    <row r="15">
      <c r="A15" s="165" t="s">
        <v>381</v>
      </c>
      <c r="B15" s="152">
        <v>2230.17</v>
      </c>
      <c r="C15" s="152">
        <v>3437.92</v>
      </c>
      <c r="D15" s="168"/>
      <c r="E15" s="154" t="s">
        <v>367</v>
      </c>
      <c r="F15" s="169"/>
      <c r="G15" s="163">
        <v>417.14</v>
      </c>
      <c r="H15" s="167" t="s">
        <v>382</v>
      </c>
      <c r="I15" s="141"/>
      <c r="J15" s="140"/>
      <c r="K15" s="143"/>
      <c r="L15" s="143"/>
      <c r="M15" s="143"/>
    </row>
    <row r="16">
      <c r="A16" s="165" t="s">
        <v>383</v>
      </c>
      <c r="B16" s="152">
        <v>1569.17</v>
      </c>
      <c r="C16" s="152">
        <v>2112.39</v>
      </c>
      <c r="D16" s="170"/>
      <c r="E16" s="154" t="s">
        <v>367</v>
      </c>
      <c r="F16" s="171"/>
      <c r="G16" s="172">
        <f>SUM(G11:G15)</f>
        <v>8648.24</v>
      </c>
      <c r="H16" s="167" t="s">
        <v>345</v>
      </c>
      <c r="I16" s="143"/>
      <c r="J16" s="143"/>
      <c r="K16" s="143"/>
      <c r="L16" s="143"/>
      <c r="M16" s="143"/>
    </row>
    <row r="17">
      <c r="A17" s="165" t="s">
        <v>384</v>
      </c>
      <c r="B17" s="152">
        <v>2363.13</v>
      </c>
      <c r="C17" s="152">
        <v>8034.8</v>
      </c>
      <c r="D17" s="170"/>
      <c r="E17" s="154" t="s">
        <v>367</v>
      </c>
      <c r="F17" s="171"/>
      <c r="G17" s="143"/>
      <c r="H17" s="143"/>
      <c r="I17" s="143"/>
      <c r="J17" s="143"/>
      <c r="K17" s="143"/>
      <c r="L17" s="143"/>
      <c r="M17" s="143"/>
    </row>
    <row r="18">
      <c r="A18" s="165" t="s">
        <v>385</v>
      </c>
      <c r="B18" s="152">
        <v>279.0</v>
      </c>
      <c r="C18" s="152">
        <v>279.0</v>
      </c>
      <c r="D18" s="170"/>
      <c r="E18" s="154" t="s">
        <v>367</v>
      </c>
      <c r="F18" s="171"/>
      <c r="I18" s="143"/>
      <c r="J18" s="143"/>
      <c r="K18" s="143"/>
      <c r="L18" s="143"/>
      <c r="M18" s="143"/>
    </row>
    <row r="19">
      <c r="A19" s="165" t="s">
        <v>386</v>
      </c>
      <c r="B19" s="152">
        <v>8648.24</v>
      </c>
      <c r="C19" s="152">
        <v>8648.24</v>
      </c>
      <c r="D19" s="170"/>
      <c r="E19" s="154" t="s">
        <v>367</v>
      </c>
      <c r="F19" s="171"/>
      <c r="I19" s="143"/>
      <c r="J19" s="143"/>
      <c r="K19" s="143"/>
      <c r="L19" s="143"/>
      <c r="M19" s="143"/>
    </row>
    <row r="20">
      <c r="A20" s="151" t="s">
        <v>387</v>
      </c>
      <c r="B20" s="152">
        <v>1999.01</v>
      </c>
      <c r="C20" s="152">
        <v>1999.01</v>
      </c>
      <c r="D20" s="173"/>
      <c r="E20" s="154" t="s">
        <v>367</v>
      </c>
      <c r="F20" s="171"/>
      <c r="I20" s="174"/>
      <c r="J20" s="174"/>
      <c r="K20" s="174"/>
      <c r="L20" s="174"/>
      <c r="M20" s="174"/>
    </row>
    <row r="21">
      <c r="A21" s="151" t="s">
        <v>388</v>
      </c>
      <c r="B21" s="152">
        <v>33.0</v>
      </c>
      <c r="C21" s="152">
        <v>66.0</v>
      </c>
      <c r="D21" s="153" t="s">
        <v>367</v>
      </c>
      <c r="E21" s="175"/>
      <c r="F21" s="171"/>
      <c r="I21" s="174"/>
      <c r="J21" s="174"/>
      <c r="K21" s="174"/>
      <c r="L21" s="174"/>
      <c r="M21" s="174"/>
    </row>
    <row r="22">
      <c r="A22" s="151" t="s">
        <v>389</v>
      </c>
      <c r="B22" s="152">
        <v>144.95</v>
      </c>
      <c r="C22" s="152">
        <v>144.95</v>
      </c>
      <c r="D22" s="153" t="s">
        <v>367</v>
      </c>
      <c r="E22" s="176"/>
      <c r="F22" s="171"/>
      <c r="I22" s="174"/>
      <c r="J22" s="174"/>
      <c r="K22" s="174"/>
      <c r="L22" s="174"/>
      <c r="M22" s="174"/>
    </row>
    <row r="23">
      <c r="A23" s="151" t="s">
        <v>390</v>
      </c>
      <c r="B23" s="152">
        <v>259.8</v>
      </c>
      <c r="C23" s="152">
        <v>259.8</v>
      </c>
      <c r="D23" s="153" t="s">
        <v>367</v>
      </c>
      <c r="E23" s="177"/>
      <c r="F23" s="178"/>
      <c r="I23" s="174"/>
      <c r="J23" s="174"/>
      <c r="K23" s="174"/>
      <c r="L23" s="174"/>
      <c r="M23" s="174"/>
    </row>
    <row r="24">
      <c r="A24" s="151" t="s">
        <v>391</v>
      </c>
      <c r="B24" s="152">
        <v>450.0</v>
      </c>
      <c r="C24" s="152">
        <v>450.0</v>
      </c>
      <c r="D24" s="153"/>
      <c r="E24" s="154" t="s">
        <v>367</v>
      </c>
      <c r="F24" s="178"/>
      <c r="I24" s="174"/>
      <c r="J24" s="174"/>
      <c r="K24" s="174"/>
      <c r="L24" s="174"/>
      <c r="M24" s="174"/>
    </row>
    <row r="25">
      <c r="A25" s="179" t="s">
        <v>392</v>
      </c>
      <c r="B25" s="180">
        <v>50.0</v>
      </c>
      <c r="C25" s="180">
        <v>50.0</v>
      </c>
      <c r="D25" s="181" t="s">
        <v>367</v>
      </c>
      <c r="E25" s="182"/>
      <c r="F25" s="178"/>
      <c r="I25" s="174"/>
      <c r="J25" s="174"/>
      <c r="K25" s="174"/>
      <c r="L25" s="174"/>
      <c r="M25" s="174"/>
    </row>
    <row r="26">
      <c r="A26" s="179" t="s">
        <v>393</v>
      </c>
      <c r="B26" s="180">
        <v>73.65</v>
      </c>
      <c r="C26" s="180">
        <v>147.5</v>
      </c>
      <c r="D26" s="181" t="s">
        <v>367</v>
      </c>
      <c r="E26" s="182"/>
      <c r="F26" s="178"/>
      <c r="I26" s="174"/>
      <c r="J26" s="174"/>
      <c r="K26" s="174"/>
      <c r="L26" s="174"/>
      <c r="M26" s="174"/>
    </row>
    <row r="27">
      <c r="A27" s="179" t="s">
        <v>394</v>
      </c>
      <c r="B27" s="180">
        <v>100.0</v>
      </c>
      <c r="C27" s="180">
        <v>900.0</v>
      </c>
      <c r="D27" s="181" t="s">
        <v>367</v>
      </c>
      <c r="E27" s="182"/>
      <c r="F27" s="178"/>
      <c r="I27" s="174"/>
      <c r="J27" s="174"/>
      <c r="K27" s="174"/>
      <c r="L27" s="174"/>
      <c r="M27" s="174"/>
    </row>
    <row r="28">
      <c r="A28" s="179" t="s">
        <v>395</v>
      </c>
      <c r="B28" s="180">
        <v>197.0</v>
      </c>
      <c r="C28" s="180">
        <v>197.0</v>
      </c>
      <c r="D28" s="181" t="s">
        <v>367</v>
      </c>
      <c r="E28" s="182"/>
      <c r="F28" s="178"/>
      <c r="I28" s="174"/>
      <c r="J28" s="174"/>
      <c r="K28" s="174"/>
      <c r="L28" s="174"/>
      <c r="M28" s="174"/>
    </row>
    <row r="29">
      <c r="A29" s="183" t="s">
        <v>396</v>
      </c>
      <c r="B29" s="184">
        <f t="shared" ref="B29:C29" si="1">SUM(B3:B28)</f>
        <v>29792.78</v>
      </c>
      <c r="C29" s="184">
        <f t="shared" si="1"/>
        <v>208534.02</v>
      </c>
      <c r="D29" s="185"/>
      <c r="E29" s="186"/>
      <c r="F29" s="178"/>
      <c r="G29" s="143"/>
      <c r="H29" s="174"/>
      <c r="I29" s="174"/>
      <c r="J29" s="174"/>
      <c r="K29" s="174"/>
      <c r="L29" s="174"/>
      <c r="M29" s="174"/>
    </row>
    <row r="30">
      <c r="A30" s="161"/>
      <c r="B30" s="157"/>
      <c r="C30" s="171"/>
      <c r="D30" s="187"/>
      <c r="E30" s="188"/>
      <c r="F30" s="178"/>
      <c r="G30" s="143"/>
      <c r="H30" s="174"/>
      <c r="I30" s="174"/>
      <c r="J30" s="174"/>
      <c r="K30" s="174"/>
      <c r="L30" s="174"/>
      <c r="M30" s="174"/>
    </row>
    <row r="31">
      <c r="A31" s="161"/>
      <c r="B31" s="157"/>
      <c r="C31" s="171"/>
      <c r="D31" s="189"/>
      <c r="E31" s="189"/>
      <c r="F31" s="190"/>
      <c r="G31" s="143"/>
      <c r="H31" s="174"/>
      <c r="I31" s="174"/>
      <c r="J31" s="174"/>
      <c r="K31" s="174"/>
      <c r="L31" s="174"/>
      <c r="M31" s="174"/>
    </row>
    <row r="32">
      <c r="A32" s="191"/>
      <c r="B32" s="157"/>
      <c r="C32" s="171"/>
      <c r="D32" s="191"/>
      <c r="E32" s="189"/>
      <c r="F32" s="191"/>
      <c r="G32" s="143"/>
      <c r="H32" s="174"/>
      <c r="I32" s="174"/>
      <c r="J32" s="174"/>
      <c r="K32" s="174"/>
      <c r="L32" s="174"/>
      <c r="M32" s="174"/>
    </row>
    <row r="33">
      <c r="A33" s="191"/>
      <c r="B33" s="192"/>
      <c r="C33" s="171"/>
      <c r="D33" s="191"/>
      <c r="E33" s="189"/>
      <c r="F33" s="171"/>
      <c r="G33" s="143"/>
      <c r="H33" s="174"/>
      <c r="I33" s="174"/>
      <c r="J33" s="174"/>
      <c r="K33" s="174"/>
      <c r="L33" s="174"/>
      <c r="M33" s="174"/>
    </row>
    <row r="34">
      <c r="A34" s="191"/>
      <c r="B34" s="193"/>
      <c r="C34" s="171"/>
      <c r="D34" s="191"/>
      <c r="E34" s="189"/>
      <c r="F34" s="171"/>
      <c r="G34" s="143"/>
      <c r="H34" s="174"/>
      <c r="I34" s="174"/>
      <c r="J34" s="174"/>
      <c r="K34" s="174"/>
      <c r="L34" s="174"/>
      <c r="M34" s="174"/>
    </row>
    <row r="35">
      <c r="A35" s="194"/>
      <c r="B35" s="194"/>
      <c r="C35" s="195"/>
      <c r="D35" s="194"/>
      <c r="E35" s="189"/>
      <c r="F35" s="195"/>
      <c r="G35" s="158"/>
      <c r="H35" s="158"/>
      <c r="I35" s="158"/>
      <c r="J35" s="158"/>
      <c r="K35" s="158"/>
      <c r="L35" s="158"/>
      <c r="M35" s="158"/>
    </row>
    <row r="36">
      <c r="A36" s="194"/>
      <c r="B36" s="194"/>
      <c r="C36" s="194"/>
      <c r="D36" s="194"/>
      <c r="E36" s="196"/>
      <c r="F36" s="195"/>
      <c r="G36" s="158"/>
      <c r="H36" s="158"/>
      <c r="I36" s="158"/>
      <c r="J36" s="158"/>
      <c r="K36" s="158"/>
      <c r="L36" s="158"/>
      <c r="M36" s="158"/>
    </row>
    <row r="37">
      <c r="A37" s="194"/>
      <c r="B37" s="194"/>
      <c r="C37" s="194"/>
      <c r="D37" s="194"/>
      <c r="E37" s="197"/>
      <c r="F37" s="195"/>
      <c r="G37" s="158"/>
      <c r="H37" s="158"/>
      <c r="I37" s="158"/>
      <c r="J37" s="158"/>
      <c r="K37" s="158"/>
      <c r="L37" s="158"/>
      <c r="M37" s="158"/>
    </row>
    <row r="38">
      <c r="A38" s="198"/>
      <c r="B38" s="198"/>
      <c r="C38" s="198"/>
      <c r="D38" s="198"/>
      <c r="E38" s="198"/>
      <c r="F38" s="195"/>
      <c r="G38" s="158"/>
    </row>
    <row r="39">
      <c r="A39" s="198"/>
      <c r="B39" s="198"/>
      <c r="C39" s="198"/>
      <c r="D39" s="198"/>
      <c r="E39" s="198"/>
      <c r="F39" s="195"/>
      <c r="G39" s="158"/>
    </row>
    <row r="40">
      <c r="A40" s="198"/>
      <c r="B40" s="198"/>
      <c r="C40" s="198"/>
      <c r="D40" s="198"/>
      <c r="E40" s="198"/>
      <c r="F40" s="195"/>
      <c r="G40" s="158"/>
    </row>
    <row r="41">
      <c r="F41" s="199"/>
      <c r="G41" s="158"/>
    </row>
    <row r="42">
      <c r="F42" s="158"/>
      <c r="G42" s="158"/>
    </row>
    <row r="43">
      <c r="F43" s="158"/>
      <c r="G43" s="158"/>
    </row>
    <row r="44">
      <c r="F44" s="158"/>
      <c r="G44" s="158"/>
    </row>
    <row r="45">
      <c r="F45" s="158"/>
      <c r="G45" s="158"/>
    </row>
    <row r="46">
      <c r="F46" s="158"/>
      <c r="G46" s="158"/>
    </row>
    <row r="47">
      <c r="F47" s="158"/>
      <c r="G47" s="158"/>
    </row>
    <row r="48">
      <c r="F48" s="158"/>
      <c r="G48" s="158"/>
    </row>
    <row r="49">
      <c r="F49" s="158"/>
      <c r="G49" s="158"/>
    </row>
    <row r="50">
      <c r="F50" s="158"/>
      <c r="G50" s="158"/>
    </row>
    <row r="51">
      <c r="F51" s="158"/>
      <c r="G51" s="158"/>
    </row>
    <row r="52">
      <c r="F52" s="158"/>
      <c r="G52" s="158"/>
    </row>
    <row r="53">
      <c r="F53" s="158"/>
      <c r="G53" s="158"/>
    </row>
    <row r="54">
      <c r="F54" s="158"/>
      <c r="G54" s="158"/>
    </row>
    <row r="55">
      <c r="F55" s="158"/>
      <c r="G55" s="158"/>
    </row>
    <row r="56">
      <c r="F56" s="158"/>
      <c r="G56" s="158"/>
    </row>
    <row r="57">
      <c r="F57" s="158"/>
      <c r="G57" s="158"/>
    </row>
    <row r="58">
      <c r="F58" s="158"/>
      <c r="G58" s="158"/>
    </row>
    <row r="59">
      <c r="F59" s="158"/>
      <c r="G59" s="158"/>
    </row>
    <row r="60">
      <c r="F60" s="158"/>
      <c r="G60" s="158"/>
    </row>
    <row r="61">
      <c r="F61" s="158"/>
      <c r="G61" s="158"/>
    </row>
    <row r="62">
      <c r="F62" s="158"/>
      <c r="G62" s="158"/>
    </row>
    <row r="63">
      <c r="F63" s="158"/>
      <c r="G63" s="158"/>
    </row>
    <row r="64">
      <c r="F64" s="158"/>
      <c r="G64" s="158"/>
    </row>
    <row r="65">
      <c r="F65" s="158"/>
      <c r="G65" s="158"/>
    </row>
    <row r="66">
      <c r="F66" s="158"/>
      <c r="G66" s="158"/>
    </row>
    <row r="67">
      <c r="F67" s="158"/>
      <c r="G67" s="158"/>
    </row>
    <row r="68">
      <c r="F68" s="158"/>
      <c r="G68" s="158"/>
    </row>
    <row r="69">
      <c r="F69" s="158"/>
      <c r="G69" s="158"/>
    </row>
    <row r="70">
      <c r="F70" s="158"/>
      <c r="G70" s="158"/>
    </row>
    <row r="71">
      <c r="F71" s="158"/>
      <c r="G71" s="158"/>
    </row>
    <row r="72">
      <c r="F72" s="158"/>
      <c r="G72" s="158"/>
    </row>
    <row r="73">
      <c r="F73" s="158"/>
      <c r="G73" s="158"/>
    </row>
    <row r="74">
      <c r="F74" s="158"/>
      <c r="G74" s="158"/>
    </row>
    <row r="75">
      <c r="F75" s="158"/>
      <c r="G75" s="158"/>
    </row>
    <row r="76">
      <c r="F76" s="158"/>
      <c r="G76" s="158"/>
    </row>
    <row r="77">
      <c r="F77" s="158"/>
      <c r="G77" s="158"/>
    </row>
    <row r="78">
      <c r="F78" s="158"/>
      <c r="G78" s="158"/>
    </row>
    <row r="79">
      <c r="F79" s="158"/>
      <c r="G79" s="158"/>
    </row>
    <row r="80">
      <c r="F80" s="158"/>
      <c r="G80" s="158"/>
    </row>
    <row r="81">
      <c r="F81" s="158"/>
      <c r="G81" s="158"/>
    </row>
    <row r="82">
      <c r="F82" s="158"/>
      <c r="G82" s="158"/>
    </row>
    <row r="83">
      <c r="F83" s="158"/>
      <c r="G83" s="158"/>
    </row>
    <row r="84">
      <c r="F84" s="158"/>
      <c r="G84" s="158"/>
    </row>
    <row r="85">
      <c r="F85" s="158"/>
      <c r="G85" s="158"/>
    </row>
    <row r="86">
      <c r="F86" s="158"/>
      <c r="G86" s="158"/>
    </row>
    <row r="87">
      <c r="F87" s="158"/>
      <c r="G87" s="158"/>
    </row>
    <row r="88">
      <c r="F88" s="158"/>
      <c r="G88" s="158"/>
    </row>
    <row r="89">
      <c r="F89" s="158"/>
      <c r="G89" s="158"/>
    </row>
    <row r="90">
      <c r="F90" s="158"/>
      <c r="G90" s="158"/>
    </row>
    <row r="91">
      <c r="F91" s="158"/>
      <c r="G91" s="158"/>
    </row>
    <row r="92">
      <c r="F92" s="158"/>
      <c r="G92" s="158"/>
    </row>
    <row r="93">
      <c r="F93" s="158"/>
      <c r="G93" s="158"/>
    </row>
    <row r="94">
      <c r="F94" s="158"/>
      <c r="G94" s="158"/>
    </row>
    <row r="95">
      <c r="F95" s="158"/>
      <c r="G95" s="158"/>
    </row>
    <row r="96">
      <c r="F96" s="158"/>
      <c r="G96" s="158"/>
    </row>
    <row r="97">
      <c r="F97" s="158"/>
      <c r="G97" s="158"/>
    </row>
    <row r="98">
      <c r="F98" s="158"/>
      <c r="G98" s="158"/>
    </row>
    <row r="99">
      <c r="F99" s="158"/>
      <c r="G99" s="158"/>
    </row>
    <row r="100">
      <c r="F100" s="158"/>
      <c r="G100" s="158"/>
    </row>
    <row r="101">
      <c r="F101" s="158"/>
      <c r="G101" s="158"/>
    </row>
    <row r="102">
      <c r="F102" s="158"/>
      <c r="G102" s="158"/>
    </row>
    <row r="103">
      <c r="F103" s="158"/>
      <c r="G103" s="158"/>
    </row>
    <row r="104">
      <c r="F104" s="158"/>
      <c r="G104" s="158"/>
    </row>
    <row r="105">
      <c r="F105" s="158"/>
      <c r="G105" s="158"/>
    </row>
    <row r="106">
      <c r="F106" s="158"/>
      <c r="G106" s="158"/>
    </row>
    <row r="107">
      <c r="F107" s="158"/>
      <c r="G107" s="158"/>
    </row>
    <row r="108">
      <c r="F108" s="158"/>
      <c r="G108" s="158"/>
    </row>
    <row r="109">
      <c r="F109" s="158"/>
      <c r="G109" s="158"/>
    </row>
    <row r="110">
      <c r="F110" s="158"/>
      <c r="G110" s="158"/>
    </row>
    <row r="111">
      <c r="F111" s="158"/>
      <c r="G111" s="158"/>
    </row>
    <row r="112">
      <c r="F112" s="158"/>
      <c r="G112" s="158"/>
    </row>
    <row r="113">
      <c r="F113" s="158"/>
      <c r="G113" s="158"/>
    </row>
    <row r="114">
      <c r="F114" s="158"/>
      <c r="G114" s="158"/>
    </row>
    <row r="115">
      <c r="F115" s="158"/>
      <c r="G115" s="158"/>
    </row>
    <row r="116">
      <c r="F116" s="158"/>
      <c r="G116" s="158"/>
    </row>
    <row r="117">
      <c r="F117" s="158"/>
      <c r="G117" s="158"/>
    </row>
    <row r="118">
      <c r="F118" s="158"/>
      <c r="G118" s="158"/>
    </row>
    <row r="119">
      <c r="F119" s="158"/>
      <c r="G119" s="158"/>
    </row>
    <row r="120">
      <c r="F120" s="158"/>
      <c r="G120" s="158"/>
    </row>
    <row r="121">
      <c r="F121" s="158"/>
      <c r="G121" s="158"/>
    </row>
    <row r="122">
      <c r="F122" s="158"/>
      <c r="G122" s="158"/>
    </row>
    <row r="123">
      <c r="F123" s="158"/>
      <c r="G123" s="158"/>
    </row>
    <row r="124">
      <c r="F124" s="158"/>
      <c r="G124" s="158"/>
    </row>
    <row r="125">
      <c r="F125" s="158"/>
      <c r="G125" s="158"/>
    </row>
    <row r="126">
      <c r="F126" s="158"/>
      <c r="G126" s="158"/>
    </row>
    <row r="127">
      <c r="F127" s="158"/>
      <c r="G127" s="158"/>
    </row>
    <row r="128">
      <c r="F128" s="158"/>
      <c r="G128" s="158"/>
    </row>
    <row r="129">
      <c r="F129" s="158"/>
      <c r="G129" s="158"/>
    </row>
    <row r="130">
      <c r="F130" s="158"/>
      <c r="G130" s="158"/>
    </row>
    <row r="131">
      <c r="F131" s="158"/>
      <c r="G131" s="158"/>
    </row>
    <row r="132">
      <c r="F132" s="158"/>
      <c r="G132" s="158"/>
    </row>
    <row r="133">
      <c r="F133" s="158"/>
      <c r="G133" s="158"/>
    </row>
    <row r="134">
      <c r="F134" s="158"/>
      <c r="G134" s="158"/>
    </row>
    <row r="135">
      <c r="F135" s="158"/>
      <c r="G135" s="158"/>
    </row>
    <row r="136">
      <c r="F136" s="158"/>
      <c r="G136" s="158"/>
    </row>
    <row r="137">
      <c r="F137" s="158"/>
      <c r="G137" s="158"/>
    </row>
    <row r="138">
      <c r="F138" s="158"/>
      <c r="G138" s="158"/>
    </row>
    <row r="139">
      <c r="F139" s="158"/>
      <c r="G139" s="158"/>
    </row>
    <row r="140">
      <c r="F140" s="158"/>
      <c r="G140" s="158"/>
    </row>
    <row r="141">
      <c r="F141" s="158"/>
      <c r="G141" s="158"/>
    </row>
    <row r="142">
      <c r="F142" s="158"/>
      <c r="G142" s="158"/>
    </row>
    <row r="143">
      <c r="F143" s="158"/>
      <c r="G143" s="158"/>
    </row>
    <row r="144">
      <c r="F144" s="158"/>
      <c r="G144" s="158"/>
    </row>
    <row r="145">
      <c r="F145" s="158"/>
      <c r="G145" s="158"/>
    </row>
    <row r="146">
      <c r="F146" s="158"/>
      <c r="G146" s="158"/>
    </row>
    <row r="147">
      <c r="F147" s="158"/>
      <c r="G147" s="158"/>
    </row>
    <row r="148">
      <c r="F148" s="158"/>
      <c r="G148" s="158"/>
    </row>
    <row r="149">
      <c r="F149" s="158"/>
      <c r="G149" s="158"/>
    </row>
    <row r="150">
      <c r="F150" s="158"/>
      <c r="G150" s="158"/>
    </row>
    <row r="151">
      <c r="F151" s="158"/>
      <c r="G151" s="158"/>
    </row>
    <row r="152">
      <c r="F152" s="158"/>
      <c r="G152" s="158"/>
    </row>
    <row r="153">
      <c r="F153" s="158"/>
      <c r="G153" s="158"/>
    </row>
    <row r="154">
      <c r="F154" s="158"/>
      <c r="G154" s="158"/>
    </row>
    <row r="155">
      <c r="F155" s="158"/>
      <c r="G155" s="158"/>
    </row>
    <row r="156">
      <c r="F156" s="158"/>
      <c r="G156" s="158"/>
    </row>
    <row r="157">
      <c r="F157" s="158"/>
      <c r="G157" s="158"/>
    </row>
    <row r="158">
      <c r="F158" s="158"/>
      <c r="G158" s="158"/>
    </row>
    <row r="159">
      <c r="F159" s="158"/>
      <c r="G159" s="158"/>
    </row>
    <row r="160">
      <c r="F160" s="158"/>
      <c r="G160" s="158"/>
    </row>
    <row r="161">
      <c r="F161" s="158"/>
      <c r="G161" s="158"/>
    </row>
    <row r="162">
      <c r="F162" s="158"/>
      <c r="G162" s="158"/>
    </row>
    <row r="163">
      <c r="F163" s="158"/>
      <c r="G163" s="158"/>
    </row>
    <row r="164">
      <c r="F164" s="158"/>
      <c r="G164" s="158"/>
    </row>
    <row r="165">
      <c r="F165" s="158"/>
      <c r="G165" s="158"/>
    </row>
    <row r="166">
      <c r="F166" s="158"/>
      <c r="G166" s="158"/>
    </row>
    <row r="167">
      <c r="F167" s="158"/>
      <c r="G167" s="158"/>
    </row>
    <row r="168">
      <c r="F168" s="158"/>
      <c r="G168" s="158"/>
    </row>
    <row r="169">
      <c r="F169" s="158"/>
      <c r="G169" s="158"/>
    </row>
    <row r="170">
      <c r="F170" s="158"/>
      <c r="G170" s="158"/>
    </row>
    <row r="171">
      <c r="F171" s="158"/>
      <c r="G171" s="158"/>
    </row>
    <row r="172">
      <c r="F172" s="158"/>
      <c r="G172" s="158"/>
    </row>
    <row r="173">
      <c r="F173" s="158"/>
      <c r="G173" s="158"/>
    </row>
    <row r="174">
      <c r="F174" s="158"/>
      <c r="G174" s="158"/>
    </row>
    <row r="175">
      <c r="F175" s="158"/>
      <c r="G175" s="158"/>
    </row>
    <row r="176">
      <c r="F176" s="158"/>
      <c r="G176" s="158"/>
    </row>
    <row r="177">
      <c r="F177" s="158"/>
      <c r="G177" s="158"/>
    </row>
    <row r="178">
      <c r="F178" s="158"/>
      <c r="G178" s="158"/>
    </row>
    <row r="179">
      <c r="F179" s="158"/>
      <c r="G179" s="158"/>
    </row>
    <row r="180">
      <c r="F180" s="158"/>
      <c r="G180" s="158"/>
    </row>
    <row r="181">
      <c r="F181" s="158"/>
      <c r="G181" s="158"/>
    </row>
    <row r="182">
      <c r="F182" s="158"/>
      <c r="G182" s="158"/>
    </row>
    <row r="183">
      <c r="F183" s="158"/>
      <c r="G183" s="158"/>
    </row>
    <row r="184">
      <c r="F184" s="158"/>
      <c r="G184" s="158"/>
    </row>
    <row r="185">
      <c r="F185" s="158"/>
      <c r="G185" s="158"/>
    </row>
    <row r="186">
      <c r="F186" s="158"/>
      <c r="G186" s="158"/>
    </row>
    <row r="187">
      <c r="F187" s="158"/>
      <c r="G187" s="158"/>
    </row>
    <row r="188">
      <c r="F188" s="158"/>
      <c r="G188" s="158"/>
    </row>
    <row r="189">
      <c r="F189" s="158"/>
      <c r="G189" s="158"/>
    </row>
    <row r="190">
      <c r="F190" s="158"/>
      <c r="G190" s="158"/>
    </row>
    <row r="191">
      <c r="F191" s="158"/>
      <c r="G191" s="158"/>
    </row>
    <row r="192">
      <c r="F192" s="158"/>
      <c r="G192" s="158"/>
    </row>
    <row r="193">
      <c r="F193" s="158"/>
      <c r="G193" s="158"/>
    </row>
    <row r="194">
      <c r="F194" s="158"/>
      <c r="G194" s="158"/>
    </row>
    <row r="195">
      <c r="F195" s="158"/>
      <c r="G195" s="158"/>
    </row>
    <row r="196">
      <c r="F196" s="158"/>
      <c r="G196" s="158"/>
    </row>
    <row r="197">
      <c r="F197" s="158"/>
      <c r="G197" s="158"/>
    </row>
    <row r="198">
      <c r="F198" s="158"/>
      <c r="G198" s="158"/>
    </row>
    <row r="199">
      <c r="F199" s="158"/>
      <c r="G199" s="158"/>
    </row>
    <row r="200">
      <c r="F200" s="158"/>
      <c r="G200" s="158"/>
    </row>
    <row r="201">
      <c r="F201" s="158"/>
      <c r="G201" s="158"/>
    </row>
    <row r="202">
      <c r="F202" s="158"/>
      <c r="G202" s="158"/>
    </row>
    <row r="203">
      <c r="F203" s="158"/>
      <c r="G203" s="158"/>
    </row>
    <row r="204">
      <c r="F204" s="158"/>
      <c r="G204" s="158"/>
    </row>
    <row r="205">
      <c r="F205" s="158"/>
      <c r="G205" s="158"/>
    </row>
    <row r="206">
      <c r="F206" s="158"/>
      <c r="G206" s="158"/>
    </row>
    <row r="207">
      <c r="F207" s="158"/>
      <c r="G207" s="158"/>
    </row>
    <row r="208">
      <c r="F208" s="158"/>
      <c r="G208" s="158"/>
    </row>
    <row r="209">
      <c r="F209" s="158"/>
      <c r="G209" s="158"/>
    </row>
    <row r="210">
      <c r="F210" s="158"/>
      <c r="G210" s="158"/>
    </row>
    <row r="211">
      <c r="F211" s="158"/>
      <c r="G211" s="158"/>
    </row>
    <row r="212">
      <c r="F212" s="158"/>
      <c r="G212" s="158"/>
    </row>
    <row r="213">
      <c r="F213" s="158"/>
      <c r="G213" s="158"/>
    </row>
    <row r="214">
      <c r="F214" s="158"/>
      <c r="G214" s="158"/>
    </row>
    <row r="215">
      <c r="F215" s="158"/>
      <c r="G215" s="158"/>
    </row>
    <row r="216">
      <c r="F216" s="158"/>
      <c r="G216" s="158"/>
    </row>
    <row r="217">
      <c r="F217" s="158"/>
      <c r="G217" s="158"/>
    </row>
    <row r="218">
      <c r="F218" s="158"/>
      <c r="G218" s="158"/>
    </row>
    <row r="219">
      <c r="F219" s="158"/>
      <c r="G219" s="158"/>
    </row>
    <row r="220">
      <c r="F220" s="158"/>
      <c r="G220" s="158"/>
    </row>
    <row r="221">
      <c r="F221" s="158"/>
      <c r="G221" s="158"/>
    </row>
    <row r="222">
      <c r="F222" s="158"/>
      <c r="G222" s="158"/>
    </row>
    <row r="223">
      <c r="F223" s="158"/>
      <c r="G223" s="158"/>
    </row>
    <row r="224">
      <c r="F224" s="158"/>
      <c r="G224" s="158"/>
    </row>
    <row r="225">
      <c r="F225" s="158"/>
      <c r="G225" s="158"/>
    </row>
    <row r="226">
      <c r="F226" s="158"/>
      <c r="G226" s="158"/>
    </row>
    <row r="227">
      <c r="F227" s="158"/>
      <c r="G227" s="158"/>
    </row>
    <row r="228">
      <c r="F228" s="158"/>
      <c r="G228" s="158"/>
    </row>
    <row r="229">
      <c r="F229" s="158"/>
      <c r="G229" s="158"/>
    </row>
    <row r="230">
      <c r="F230" s="158"/>
      <c r="G230" s="158"/>
    </row>
    <row r="231">
      <c r="F231" s="158"/>
      <c r="G231" s="158"/>
    </row>
    <row r="232">
      <c r="F232" s="158"/>
      <c r="G232" s="158"/>
    </row>
    <row r="233">
      <c r="F233" s="158"/>
      <c r="G233" s="158"/>
    </row>
    <row r="234">
      <c r="F234" s="158"/>
      <c r="G234" s="158"/>
    </row>
    <row r="235">
      <c r="F235" s="158"/>
      <c r="G235" s="158"/>
    </row>
    <row r="236">
      <c r="F236" s="158"/>
      <c r="G236" s="158"/>
    </row>
    <row r="237">
      <c r="F237" s="158"/>
      <c r="G237" s="158"/>
    </row>
    <row r="238">
      <c r="F238" s="158"/>
      <c r="G238" s="158"/>
    </row>
    <row r="239">
      <c r="F239" s="158"/>
      <c r="G239" s="158"/>
    </row>
    <row r="240">
      <c r="F240" s="158"/>
      <c r="G240" s="158"/>
    </row>
    <row r="241">
      <c r="F241" s="158"/>
      <c r="G241" s="158"/>
    </row>
    <row r="242">
      <c r="F242" s="158"/>
      <c r="G242" s="158"/>
    </row>
    <row r="243">
      <c r="F243" s="158"/>
      <c r="G243" s="158"/>
    </row>
    <row r="244">
      <c r="F244" s="158"/>
      <c r="G244" s="158"/>
    </row>
    <row r="245">
      <c r="F245" s="158"/>
      <c r="G245" s="158"/>
    </row>
    <row r="246">
      <c r="F246" s="158"/>
      <c r="G246" s="158"/>
    </row>
    <row r="247">
      <c r="F247" s="158"/>
      <c r="G247" s="158"/>
    </row>
    <row r="248">
      <c r="F248" s="158"/>
      <c r="G248" s="158"/>
    </row>
    <row r="249">
      <c r="F249" s="158"/>
      <c r="G249" s="158"/>
    </row>
    <row r="250">
      <c r="F250" s="158"/>
      <c r="G250" s="158"/>
    </row>
    <row r="251">
      <c r="F251" s="158"/>
      <c r="G251" s="158"/>
    </row>
    <row r="252">
      <c r="F252" s="158"/>
      <c r="G252" s="158"/>
    </row>
    <row r="253">
      <c r="F253" s="158"/>
      <c r="G253" s="158"/>
    </row>
    <row r="254">
      <c r="F254" s="158"/>
      <c r="G254" s="158"/>
    </row>
    <row r="255">
      <c r="F255" s="158"/>
      <c r="G255" s="158"/>
    </row>
    <row r="256">
      <c r="F256" s="158"/>
      <c r="G256" s="158"/>
    </row>
    <row r="257">
      <c r="F257" s="158"/>
      <c r="G257" s="158"/>
    </row>
    <row r="258">
      <c r="F258" s="158"/>
      <c r="G258" s="158"/>
    </row>
    <row r="259">
      <c r="F259" s="158"/>
      <c r="G259" s="158"/>
    </row>
    <row r="260">
      <c r="F260" s="158"/>
      <c r="G260" s="158"/>
    </row>
    <row r="261">
      <c r="F261" s="158"/>
      <c r="G261" s="158"/>
    </row>
    <row r="262">
      <c r="F262" s="158"/>
      <c r="G262" s="158"/>
    </row>
    <row r="263">
      <c r="F263" s="158"/>
      <c r="G263" s="158"/>
    </row>
    <row r="264">
      <c r="F264" s="158"/>
      <c r="G264" s="158"/>
    </row>
    <row r="265">
      <c r="F265" s="158"/>
      <c r="G265" s="158"/>
    </row>
    <row r="266">
      <c r="F266" s="158"/>
      <c r="G266" s="158"/>
    </row>
    <row r="267">
      <c r="F267" s="158"/>
      <c r="G267" s="158"/>
    </row>
    <row r="268">
      <c r="F268" s="158"/>
      <c r="G268" s="158"/>
    </row>
    <row r="269">
      <c r="F269" s="158"/>
      <c r="G269" s="158"/>
    </row>
    <row r="270">
      <c r="F270" s="158"/>
      <c r="G270" s="158"/>
    </row>
    <row r="271">
      <c r="F271" s="158"/>
      <c r="G271" s="158"/>
    </row>
    <row r="272">
      <c r="F272" s="158"/>
      <c r="G272" s="158"/>
    </row>
    <row r="273">
      <c r="F273" s="158"/>
      <c r="G273" s="158"/>
    </row>
    <row r="274">
      <c r="F274" s="158"/>
      <c r="G274" s="158"/>
    </row>
    <row r="275">
      <c r="F275" s="158"/>
      <c r="G275" s="158"/>
    </row>
    <row r="276">
      <c r="F276" s="158"/>
      <c r="G276" s="158"/>
    </row>
    <row r="277">
      <c r="F277" s="158"/>
      <c r="G277" s="158"/>
    </row>
    <row r="278">
      <c r="F278" s="158"/>
      <c r="G278" s="158"/>
    </row>
    <row r="279">
      <c r="F279" s="158"/>
      <c r="G279" s="158"/>
    </row>
    <row r="280">
      <c r="F280" s="158"/>
      <c r="G280" s="158"/>
    </row>
    <row r="281">
      <c r="F281" s="158"/>
      <c r="G281" s="158"/>
    </row>
    <row r="282">
      <c r="F282" s="158"/>
      <c r="G282" s="158"/>
    </row>
    <row r="283">
      <c r="F283" s="158"/>
      <c r="G283" s="158"/>
    </row>
    <row r="284">
      <c r="F284" s="158"/>
      <c r="G284" s="158"/>
    </row>
    <row r="285">
      <c r="F285" s="158"/>
      <c r="G285" s="158"/>
    </row>
    <row r="286">
      <c r="F286" s="158"/>
      <c r="G286" s="158"/>
    </row>
    <row r="287">
      <c r="F287" s="158"/>
      <c r="G287" s="158"/>
    </row>
    <row r="288">
      <c r="F288" s="158"/>
      <c r="G288" s="158"/>
    </row>
    <row r="289">
      <c r="F289" s="158"/>
      <c r="G289" s="158"/>
    </row>
    <row r="290">
      <c r="F290" s="158"/>
      <c r="G290" s="158"/>
    </row>
    <row r="291">
      <c r="F291" s="158"/>
      <c r="G291" s="158"/>
    </row>
    <row r="292">
      <c r="F292" s="158"/>
      <c r="G292" s="158"/>
    </row>
    <row r="293">
      <c r="F293" s="158"/>
      <c r="G293" s="158"/>
    </row>
    <row r="294">
      <c r="F294" s="158"/>
      <c r="G294" s="158"/>
    </row>
    <row r="295">
      <c r="F295" s="158"/>
      <c r="G295" s="158"/>
    </row>
    <row r="296">
      <c r="F296" s="158"/>
      <c r="G296" s="158"/>
    </row>
    <row r="297">
      <c r="F297" s="158"/>
      <c r="G297" s="158"/>
    </row>
    <row r="298">
      <c r="F298" s="158"/>
      <c r="G298" s="158"/>
    </row>
    <row r="299">
      <c r="F299" s="158"/>
      <c r="G299" s="158"/>
    </row>
    <row r="300">
      <c r="F300" s="158"/>
      <c r="G300" s="158"/>
    </row>
    <row r="301">
      <c r="F301" s="158"/>
      <c r="G301" s="158"/>
    </row>
    <row r="302">
      <c r="F302" s="158"/>
      <c r="G302" s="158"/>
    </row>
    <row r="303">
      <c r="F303" s="158"/>
      <c r="G303" s="158"/>
    </row>
    <row r="304">
      <c r="F304" s="158"/>
      <c r="G304" s="158"/>
    </row>
    <row r="305">
      <c r="F305" s="158"/>
      <c r="G305" s="158"/>
    </row>
    <row r="306">
      <c r="F306" s="158"/>
      <c r="G306" s="158"/>
    </row>
    <row r="307">
      <c r="F307" s="158"/>
      <c r="G307" s="158"/>
    </row>
    <row r="308">
      <c r="F308" s="158"/>
      <c r="G308" s="158"/>
    </row>
    <row r="309">
      <c r="F309" s="158"/>
      <c r="G309" s="158"/>
    </row>
    <row r="310">
      <c r="F310" s="158"/>
      <c r="G310" s="158"/>
    </row>
    <row r="311">
      <c r="F311" s="158"/>
      <c r="G311" s="158"/>
    </row>
    <row r="312">
      <c r="F312" s="158"/>
      <c r="G312" s="158"/>
    </row>
    <row r="313">
      <c r="F313" s="158"/>
      <c r="G313" s="158"/>
    </row>
    <row r="314">
      <c r="F314" s="158"/>
      <c r="G314" s="158"/>
    </row>
    <row r="315">
      <c r="F315" s="158"/>
      <c r="G315" s="158"/>
    </row>
    <row r="316">
      <c r="F316" s="158"/>
      <c r="G316" s="158"/>
    </row>
    <row r="317">
      <c r="F317" s="158"/>
      <c r="G317" s="158"/>
    </row>
    <row r="318">
      <c r="F318" s="158"/>
      <c r="G318" s="158"/>
    </row>
    <row r="319">
      <c r="F319" s="158"/>
      <c r="G319" s="158"/>
    </row>
    <row r="320">
      <c r="F320" s="158"/>
      <c r="G320" s="158"/>
    </row>
    <row r="321">
      <c r="F321" s="158"/>
      <c r="G321" s="158"/>
    </row>
    <row r="322">
      <c r="F322" s="158"/>
      <c r="G322" s="158"/>
    </row>
    <row r="323">
      <c r="F323" s="158"/>
      <c r="G323" s="158"/>
    </row>
    <row r="324">
      <c r="F324" s="158"/>
      <c r="G324" s="158"/>
    </row>
    <row r="325">
      <c r="F325" s="158"/>
      <c r="G325" s="158"/>
    </row>
    <row r="326">
      <c r="F326" s="158"/>
      <c r="G326" s="158"/>
    </row>
    <row r="327">
      <c r="F327" s="158"/>
      <c r="G327" s="158"/>
    </row>
    <row r="328">
      <c r="F328" s="158"/>
      <c r="G328" s="158"/>
    </row>
    <row r="329">
      <c r="F329" s="158"/>
      <c r="G329" s="158"/>
    </row>
    <row r="330">
      <c r="F330" s="158"/>
      <c r="G330" s="158"/>
    </row>
    <row r="331">
      <c r="F331" s="158"/>
      <c r="G331" s="158"/>
    </row>
    <row r="332">
      <c r="F332" s="158"/>
      <c r="G332" s="158"/>
    </row>
    <row r="333">
      <c r="F333" s="158"/>
      <c r="G333" s="158"/>
    </row>
    <row r="334">
      <c r="F334" s="158"/>
      <c r="G334" s="158"/>
    </row>
    <row r="335">
      <c r="F335" s="158"/>
      <c r="G335" s="158"/>
    </row>
    <row r="336">
      <c r="F336" s="158"/>
      <c r="G336" s="158"/>
    </row>
    <row r="337">
      <c r="F337" s="158"/>
      <c r="G337" s="158"/>
    </row>
    <row r="338">
      <c r="F338" s="158"/>
      <c r="G338" s="158"/>
    </row>
    <row r="339">
      <c r="F339" s="158"/>
      <c r="G339" s="158"/>
    </row>
    <row r="340">
      <c r="F340" s="158"/>
      <c r="G340" s="158"/>
    </row>
    <row r="341">
      <c r="F341" s="158"/>
      <c r="G341" s="158"/>
    </row>
    <row r="342">
      <c r="F342" s="158"/>
      <c r="G342" s="158"/>
    </row>
    <row r="343">
      <c r="F343" s="158"/>
      <c r="G343" s="158"/>
    </row>
    <row r="344">
      <c r="F344" s="158"/>
      <c r="G344" s="158"/>
    </row>
    <row r="345">
      <c r="F345" s="158"/>
      <c r="G345" s="158"/>
    </row>
    <row r="346">
      <c r="F346" s="158"/>
      <c r="G346" s="158"/>
    </row>
    <row r="347">
      <c r="F347" s="158"/>
      <c r="G347" s="158"/>
    </row>
    <row r="348">
      <c r="F348" s="158"/>
      <c r="G348" s="158"/>
    </row>
    <row r="349">
      <c r="F349" s="158"/>
      <c r="G349" s="158"/>
    </row>
    <row r="350">
      <c r="F350" s="158"/>
      <c r="G350" s="158"/>
    </row>
    <row r="351">
      <c r="F351" s="158"/>
      <c r="G351" s="158"/>
    </row>
    <row r="352">
      <c r="F352" s="158"/>
      <c r="G352" s="158"/>
    </row>
    <row r="353">
      <c r="F353" s="158"/>
      <c r="G353" s="158"/>
    </row>
    <row r="354">
      <c r="F354" s="158"/>
      <c r="G354" s="158"/>
    </row>
    <row r="355">
      <c r="F355" s="158"/>
      <c r="G355" s="158"/>
    </row>
    <row r="356">
      <c r="F356" s="158"/>
      <c r="G356" s="158"/>
    </row>
    <row r="357">
      <c r="F357" s="158"/>
      <c r="G357" s="158"/>
    </row>
    <row r="358">
      <c r="F358" s="158"/>
      <c r="G358" s="158"/>
    </row>
    <row r="359">
      <c r="F359" s="158"/>
      <c r="G359" s="158"/>
    </row>
    <row r="360">
      <c r="F360" s="158"/>
      <c r="G360" s="158"/>
    </row>
    <row r="361">
      <c r="F361" s="158"/>
      <c r="G361" s="158"/>
    </row>
    <row r="362">
      <c r="F362" s="158"/>
      <c r="G362" s="158"/>
    </row>
    <row r="363">
      <c r="F363" s="158"/>
      <c r="G363" s="158"/>
    </row>
    <row r="364">
      <c r="F364" s="158"/>
      <c r="G364" s="158"/>
    </row>
    <row r="365">
      <c r="F365" s="158"/>
      <c r="G365" s="158"/>
    </row>
    <row r="366">
      <c r="F366" s="158"/>
      <c r="G366" s="158"/>
    </row>
    <row r="367">
      <c r="F367" s="158"/>
      <c r="G367" s="158"/>
    </row>
    <row r="368">
      <c r="F368" s="158"/>
      <c r="G368" s="158"/>
    </row>
    <row r="369">
      <c r="F369" s="158"/>
      <c r="G369" s="158"/>
    </row>
    <row r="370">
      <c r="F370" s="158"/>
      <c r="G370" s="158"/>
    </row>
    <row r="371">
      <c r="F371" s="158"/>
      <c r="G371" s="158"/>
    </row>
    <row r="372">
      <c r="F372" s="158"/>
      <c r="G372" s="158"/>
    </row>
    <row r="373">
      <c r="F373" s="158"/>
      <c r="G373" s="158"/>
    </row>
    <row r="374">
      <c r="F374" s="158"/>
      <c r="G374" s="158"/>
    </row>
    <row r="375">
      <c r="F375" s="158"/>
      <c r="G375" s="158"/>
    </row>
    <row r="376">
      <c r="F376" s="158"/>
      <c r="G376" s="158"/>
    </row>
    <row r="377">
      <c r="F377" s="158"/>
      <c r="G377" s="158"/>
    </row>
    <row r="378">
      <c r="F378" s="158"/>
      <c r="G378" s="158"/>
    </row>
    <row r="379">
      <c r="F379" s="158"/>
      <c r="G379" s="158"/>
    </row>
    <row r="380">
      <c r="F380" s="158"/>
      <c r="G380" s="158"/>
    </row>
    <row r="381">
      <c r="F381" s="158"/>
      <c r="G381" s="158"/>
    </row>
    <row r="382">
      <c r="F382" s="158"/>
      <c r="G382" s="158"/>
    </row>
    <row r="383">
      <c r="F383" s="158"/>
      <c r="G383" s="158"/>
    </row>
    <row r="384">
      <c r="F384" s="158"/>
      <c r="G384" s="158"/>
    </row>
    <row r="385">
      <c r="F385" s="158"/>
      <c r="G385" s="158"/>
    </row>
    <row r="386">
      <c r="F386" s="158"/>
      <c r="G386" s="158"/>
    </row>
    <row r="387">
      <c r="F387" s="158"/>
      <c r="G387" s="158"/>
    </row>
    <row r="388">
      <c r="F388" s="158"/>
      <c r="G388" s="158"/>
    </row>
    <row r="389">
      <c r="F389" s="158"/>
      <c r="G389" s="158"/>
    </row>
    <row r="390">
      <c r="F390" s="158"/>
      <c r="G390" s="158"/>
    </row>
    <row r="391">
      <c r="F391" s="158"/>
      <c r="G391" s="158"/>
    </row>
    <row r="392">
      <c r="F392" s="158"/>
      <c r="G392" s="158"/>
    </row>
    <row r="393">
      <c r="F393" s="158"/>
      <c r="G393" s="158"/>
    </row>
    <row r="394">
      <c r="F394" s="158"/>
      <c r="G394" s="158"/>
    </row>
    <row r="395">
      <c r="F395" s="158"/>
      <c r="G395" s="158"/>
    </row>
    <row r="396">
      <c r="F396" s="158"/>
      <c r="G396" s="158"/>
    </row>
    <row r="397">
      <c r="F397" s="158"/>
      <c r="G397" s="158"/>
    </row>
    <row r="398">
      <c r="F398" s="158"/>
      <c r="G398" s="158"/>
    </row>
    <row r="399">
      <c r="F399" s="158"/>
      <c r="G399" s="158"/>
    </row>
    <row r="400">
      <c r="F400" s="158"/>
      <c r="G400" s="158"/>
    </row>
    <row r="401">
      <c r="F401" s="158"/>
      <c r="G401" s="158"/>
    </row>
    <row r="402">
      <c r="F402" s="158"/>
      <c r="G402" s="158"/>
    </row>
    <row r="403">
      <c r="F403" s="158"/>
      <c r="G403" s="158"/>
    </row>
    <row r="404">
      <c r="F404" s="158"/>
      <c r="G404" s="158"/>
    </row>
    <row r="405">
      <c r="F405" s="158"/>
      <c r="G405" s="158"/>
    </row>
    <row r="406">
      <c r="F406" s="158"/>
      <c r="G406" s="158"/>
    </row>
    <row r="407">
      <c r="F407" s="158"/>
      <c r="G407" s="158"/>
    </row>
    <row r="408">
      <c r="F408" s="158"/>
      <c r="G408" s="158"/>
    </row>
    <row r="409">
      <c r="F409" s="158"/>
      <c r="G409" s="158"/>
    </row>
    <row r="410">
      <c r="F410" s="158"/>
      <c r="G410" s="158"/>
    </row>
    <row r="411">
      <c r="F411" s="158"/>
      <c r="G411" s="158"/>
    </row>
    <row r="412">
      <c r="F412" s="158"/>
      <c r="G412" s="158"/>
    </row>
    <row r="413">
      <c r="F413" s="158"/>
      <c r="G413" s="158"/>
    </row>
    <row r="414">
      <c r="F414" s="158"/>
      <c r="G414" s="158"/>
    </row>
    <row r="415">
      <c r="F415" s="158"/>
      <c r="G415" s="158"/>
    </row>
    <row r="416">
      <c r="F416" s="158"/>
      <c r="G416" s="158"/>
    </row>
    <row r="417">
      <c r="F417" s="158"/>
      <c r="G417" s="158"/>
    </row>
    <row r="418">
      <c r="F418" s="158"/>
      <c r="G418" s="158"/>
    </row>
    <row r="419">
      <c r="F419" s="158"/>
      <c r="G419" s="158"/>
    </row>
    <row r="420">
      <c r="F420" s="158"/>
      <c r="G420" s="158"/>
    </row>
    <row r="421">
      <c r="F421" s="158"/>
      <c r="G421" s="158"/>
    </row>
    <row r="422">
      <c r="F422" s="158"/>
      <c r="G422" s="158"/>
    </row>
    <row r="423">
      <c r="F423" s="158"/>
      <c r="G423" s="158"/>
    </row>
    <row r="424">
      <c r="F424" s="158"/>
      <c r="G424" s="158"/>
    </row>
    <row r="425">
      <c r="F425" s="158"/>
      <c r="G425" s="158"/>
    </row>
    <row r="426">
      <c r="F426" s="158"/>
      <c r="G426" s="158"/>
    </row>
    <row r="427">
      <c r="F427" s="158"/>
      <c r="G427" s="158"/>
    </row>
    <row r="428">
      <c r="F428" s="158"/>
      <c r="G428" s="158"/>
    </row>
    <row r="429">
      <c r="F429" s="158"/>
      <c r="G429" s="158"/>
    </row>
    <row r="430">
      <c r="F430" s="158"/>
      <c r="G430" s="158"/>
    </row>
    <row r="431">
      <c r="F431" s="158"/>
      <c r="G431" s="158"/>
    </row>
    <row r="432">
      <c r="F432" s="158"/>
      <c r="G432" s="158"/>
    </row>
    <row r="433">
      <c r="F433" s="158"/>
      <c r="G433" s="158"/>
    </row>
    <row r="434">
      <c r="F434" s="158"/>
      <c r="G434" s="158"/>
    </row>
    <row r="435">
      <c r="F435" s="158"/>
      <c r="G435" s="158"/>
    </row>
    <row r="436">
      <c r="F436" s="158"/>
      <c r="G436" s="158"/>
    </row>
    <row r="437">
      <c r="F437" s="158"/>
      <c r="G437" s="158"/>
    </row>
    <row r="438">
      <c r="F438" s="158"/>
      <c r="G438" s="158"/>
    </row>
    <row r="439">
      <c r="F439" s="158"/>
      <c r="G439" s="158"/>
    </row>
    <row r="440">
      <c r="F440" s="158"/>
      <c r="G440" s="158"/>
    </row>
    <row r="441">
      <c r="F441" s="158"/>
      <c r="G441" s="158"/>
    </row>
    <row r="442">
      <c r="F442" s="158"/>
      <c r="G442" s="158"/>
    </row>
    <row r="443">
      <c r="F443" s="158"/>
      <c r="G443" s="158"/>
    </row>
    <row r="444">
      <c r="F444" s="158"/>
      <c r="G444" s="158"/>
    </row>
    <row r="445">
      <c r="F445" s="158"/>
      <c r="G445" s="158"/>
    </row>
    <row r="446">
      <c r="F446" s="158"/>
      <c r="G446" s="158"/>
    </row>
    <row r="447">
      <c r="F447" s="158"/>
      <c r="G447" s="158"/>
    </row>
    <row r="448">
      <c r="F448" s="158"/>
      <c r="G448" s="158"/>
    </row>
    <row r="449">
      <c r="F449" s="158"/>
      <c r="G449" s="158"/>
    </row>
    <row r="450">
      <c r="F450" s="158"/>
      <c r="G450" s="158"/>
    </row>
    <row r="451">
      <c r="F451" s="158"/>
      <c r="G451" s="158"/>
    </row>
    <row r="452">
      <c r="F452" s="158"/>
      <c r="G452" s="158"/>
    </row>
    <row r="453">
      <c r="F453" s="158"/>
      <c r="G453" s="158"/>
    </row>
    <row r="454">
      <c r="F454" s="158"/>
      <c r="G454" s="158"/>
    </row>
    <row r="455">
      <c r="F455" s="158"/>
      <c r="G455" s="158"/>
    </row>
    <row r="456">
      <c r="F456" s="158"/>
      <c r="G456" s="158"/>
    </row>
    <row r="457">
      <c r="F457" s="158"/>
      <c r="G457" s="158"/>
    </row>
    <row r="458">
      <c r="F458" s="158"/>
      <c r="G458" s="158"/>
    </row>
    <row r="459">
      <c r="F459" s="158"/>
      <c r="G459" s="158"/>
    </row>
    <row r="460">
      <c r="F460" s="158"/>
      <c r="G460" s="158"/>
    </row>
    <row r="461">
      <c r="F461" s="158"/>
      <c r="G461" s="158"/>
    </row>
    <row r="462">
      <c r="F462" s="158"/>
      <c r="G462" s="158"/>
    </row>
    <row r="463">
      <c r="F463" s="158"/>
      <c r="G463" s="158"/>
    </row>
    <row r="464">
      <c r="F464" s="158"/>
      <c r="G464" s="158"/>
    </row>
    <row r="465">
      <c r="F465" s="158"/>
      <c r="G465" s="158"/>
    </row>
    <row r="466">
      <c r="F466" s="158"/>
      <c r="G466" s="158"/>
    </row>
    <row r="467">
      <c r="F467" s="158"/>
      <c r="G467" s="158"/>
    </row>
    <row r="468">
      <c r="F468" s="158"/>
      <c r="G468" s="158"/>
    </row>
    <row r="469">
      <c r="F469" s="158"/>
      <c r="G469" s="158"/>
    </row>
    <row r="470">
      <c r="F470" s="158"/>
      <c r="G470" s="158"/>
    </row>
    <row r="471">
      <c r="F471" s="158"/>
      <c r="G471" s="158"/>
    </row>
    <row r="472">
      <c r="F472" s="158"/>
      <c r="G472" s="158"/>
    </row>
    <row r="473">
      <c r="F473" s="158"/>
      <c r="G473" s="158"/>
    </row>
    <row r="474">
      <c r="F474" s="158"/>
      <c r="G474" s="158"/>
    </row>
    <row r="475">
      <c r="F475" s="158"/>
      <c r="G475" s="158"/>
    </row>
    <row r="476">
      <c r="F476" s="158"/>
      <c r="G476" s="158"/>
    </row>
    <row r="477">
      <c r="F477" s="158"/>
      <c r="G477" s="158"/>
    </row>
    <row r="478">
      <c r="F478" s="158"/>
      <c r="G478" s="158"/>
    </row>
    <row r="479">
      <c r="F479" s="158"/>
      <c r="G479" s="158"/>
    </row>
    <row r="480">
      <c r="F480" s="158"/>
      <c r="G480" s="158"/>
    </row>
    <row r="481">
      <c r="F481" s="158"/>
      <c r="G481" s="158"/>
    </row>
    <row r="482">
      <c r="F482" s="158"/>
      <c r="G482" s="158"/>
    </row>
    <row r="483">
      <c r="F483" s="158"/>
      <c r="G483" s="158"/>
    </row>
    <row r="484">
      <c r="F484" s="158"/>
      <c r="G484" s="158"/>
    </row>
    <row r="485">
      <c r="F485" s="158"/>
      <c r="G485" s="158"/>
    </row>
    <row r="486">
      <c r="F486" s="158"/>
      <c r="G486" s="158"/>
    </row>
    <row r="487">
      <c r="F487" s="158"/>
      <c r="G487" s="158"/>
    </row>
    <row r="488">
      <c r="F488" s="158"/>
      <c r="G488" s="158"/>
    </row>
    <row r="489">
      <c r="F489" s="158"/>
      <c r="G489" s="158"/>
    </row>
    <row r="490">
      <c r="F490" s="158"/>
      <c r="G490" s="158"/>
    </row>
    <row r="491">
      <c r="F491" s="158"/>
      <c r="G491" s="158"/>
    </row>
    <row r="492">
      <c r="F492" s="158"/>
      <c r="G492" s="158"/>
    </row>
    <row r="493">
      <c r="F493" s="158"/>
      <c r="G493" s="158"/>
    </row>
    <row r="494">
      <c r="F494" s="158"/>
      <c r="G494" s="158"/>
    </row>
    <row r="495">
      <c r="F495" s="158"/>
      <c r="G495" s="158"/>
    </row>
    <row r="496">
      <c r="F496" s="158"/>
      <c r="G496" s="158"/>
    </row>
    <row r="497">
      <c r="F497" s="158"/>
      <c r="G497" s="158"/>
    </row>
    <row r="498">
      <c r="F498" s="158"/>
      <c r="G498" s="158"/>
    </row>
    <row r="499">
      <c r="F499" s="158"/>
      <c r="G499" s="158"/>
    </row>
    <row r="500">
      <c r="F500" s="158"/>
      <c r="G500" s="158"/>
    </row>
    <row r="501">
      <c r="F501" s="158"/>
      <c r="G501" s="158"/>
    </row>
    <row r="502">
      <c r="F502" s="158"/>
      <c r="G502" s="158"/>
    </row>
    <row r="503">
      <c r="F503" s="158"/>
      <c r="G503" s="158"/>
    </row>
    <row r="504">
      <c r="F504" s="158"/>
      <c r="G504" s="158"/>
    </row>
    <row r="505">
      <c r="F505" s="158"/>
      <c r="G505" s="158"/>
    </row>
    <row r="506">
      <c r="F506" s="158"/>
      <c r="G506" s="158"/>
    </row>
    <row r="507">
      <c r="F507" s="158"/>
      <c r="G507" s="158"/>
    </row>
    <row r="508">
      <c r="F508" s="158"/>
      <c r="G508" s="158"/>
    </row>
    <row r="509">
      <c r="F509" s="158"/>
      <c r="G509" s="158"/>
    </row>
    <row r="510">
      <c r="F510" s="158"/>
      <c r="G510" s="158"/>
    </row>
    <row r="511">
      <c r="F511" s="158"/>
      <c r="G511" s="158"/>
    </row>
    <row r="512">
      <c r="F512" s="158"/>
      <c r="G512" s="158"/>
    </row>
    <row r="513">
      <c r="F513" s="158"/>
      <c r="G513" s="158"/>
    </row>
    <row r="514">
      <c r="F514" s="158"/>
      <c r="G514" s="158"/>
    </row>
    <row r="515">
      <c r="F515" s="158"/>
      <c r="G515" s="158"/>
    </row>
    <row r="516">
      <c r="F516" s="158"/>
      <c r="G516" s="158"/>
    </row>
    <row r="517">
      <c r="F517" s="158"/>
      <c r="G517" s="158"/>
    </row>
    <row r="518">
      <c r="F518" s="158"/>
      <c r="G518" s="158"/>
    </row>
    <row r="519">
      <c r="F519" s="158"/>
      <c r="G519" s="158"/>
    </row>
    <row r="520">
      <c r="F520" s="158"/>
      <c r="G520" s="158"/>
    </row>
    <row r="521">
      <c r="F521" s="158"/>
      <c r="G521" s="158"/>
    </row>
    <row r="522">
      <c r="F522" s="158"/>
      <c r="G522" s="158"/>
    </row>
    <row r="523">
      <c r="F523" s="158"/>
      <c r="G523" s="158"/>
    </row>
    <row r="524">
      <c r="F524" s="158"/>
      <c r="G524" s="158"/>
    </row>
    <row r="525">
      <c r="F525" s="158"/>
      <c r="G525" s="158"/>
    </row>
    <row r="526">
      <c r="F526" s="158"/>
      <c r="G526" s="158"/>
    </row>
    <row r="527">
      <c r="F527" s="158"/>
      <c r="G527" s="158"/>
    </row>
    <row r="528">
      <c r="F528" s="158"/>
      <c r="G528" s="158"/>
    </row>
    <row r="529">
      <c r="F529" s="158"/>
      <c r="G529" s="158"/>
    </row>
    <row r="530">
      <c r="F530" s="158"/>
      <c r="G530" s="158"/>
    </row>
    <row r="531">
      <c r="F531" s="158"/>
      <c r="G531" s="158"/>
    </row>
    <row r="532">
      <c r="F532" s="158"/>
      <c r="G532" s="158"/>
    </row>
    <row r="533">
      <c r="F533" s="158"/>
      <c r="G533" s="158"/>
    </row>
    <row r="534">
      <c r="F534" s="158"/>
      <c r="G534" s="158"/>
    </row>
    <row r="535">
      <c r="F535" s="158"/>
      <c r="G535" s="158"/>
    </row>
    <row r="536">
      <c r="F536" s="158"/>
      <c r="G536" s="158"/>
    </row>
    <row r="537">
      <c r="F537" s="158"/>
      <c r="G537" s="158"/>
    </row>
    <row r="538">
      <c r="F538" s="158"/>
      <c r="G538" s="158"/>
    </row>
    <row r="539">
      <c r="F539" s="158"/>
      <c r="G539" s="158"/>
    </row>
    <row r="540">
      <c r="F540" s="158"/>
      <c r="G540" s="158"/>
    </row>
    <row r="541">
      <c r="F541" s="158"/>
      <c r="G541" s="158"/>
    </row>
    <row r="542">
      <c r="F542" s="158"/>
      <c r="G542" s="158"/>
    </row>
    <row r="543">
      <c r="F543" s="158"/>
      <c r="G543" s="158"/>
    </row>
    <row r="544">
      <c r="F544" s="158"/>
      <c r="G544" s="158"/>
    </row>
    <row r="545">
      <c r="F545" s="158"/>
      <c r="G545" s="158"/>
    </row>
    <row r="546">
      <c r="F546" s="158"/>
      <c r="G546" s="158"/>
    </row>
    <row r="547">
      <c r="F547" s="158"/>
      <c r="G547" s="158"/>
    </row>
    <row r="548">
      <c r="F548" s="158"/>
      <c r="G548" s="158"/>
    </row>
    <row r="549">
      <c r="F549" s="158"/>
      <c r="G549" s="158"/>
    </row>
    <row r="550">
      <c r="F550" s="158"/>
      <c r="G550" s="158"/>
    </row>
    <row r="551">
      <c r="F551" s="158"/>
      <c r="G551" s="158"/>
    </row>
    <row r="552">
      <c r="F552" s="158"/>
      <c r="G552" s="158"/>
    </row>
    <row r="553">
      <c r="F553" s="158"/>
      <c r="G553" s="158"/>
    </row>
    <row r="554">
      <c r="F554" s="158"/>
      <c r="G554" s="158"/>
    </row>
    <row r="555">
      <c r="F555" s="158"/>
      <c r="G555" s="158"/>
    </row>
    <row r="556">
      <c r="F556" s="158"/>
      <c r="G556" s="158"/>
    </row>
    <row r="557">
      <c r="F557" s="158"/>
      <c r="G557" s="158"/>
    </row>
    <row r="558">
      <c r="F558" s="158"/>
      <c r="G558" s="158"/>
    </row>
    <row r="559">
      <c r="F559" s="158"/>
      <c r="G559" s="158"/>
    </row>
    <row r="560">
      <c r="F560" s="158"/>
      <c r="G560" s="158"/>
    </row>
    <row r="561">
      <c r="F561" s="158"/>
      <c r="G561" s="158"/>
    </row>
    <row r="562">
      <c r="F562" s="158"/>
      <c r="G562" s="158"/>
    </row>
    <row r="563">
      <c r="F563" s="158"/>
      <c r="G563" s="158"/>
    </row>
    <row r="564">
      <c r="F564" s="158"/>
      <c r="G564" s="158"/>
    </row>
    <row r="565">
      <c r="F565" s="158"/>
      <c r="G565" s="158"/>
    </row>
    <row r="566">
      <c r="F566" s="158"/>
      <c r="G566" s="158"/>
    </row>
    <row r="567">
      <c r="F567" s="158"/>
      <c r="G567" s="158"/>
    </row>
    <row r="568">
      <c r="F568" s="158"/>
      <c r="G568" s="158"/>
    </row>
    <row r="569">
      <c r="F569" s="158"/>
      <c r="G569" s="158"/>
    </row>
    <row r="570">
      <c r="F570" s="158"/>
      <c r="G570" s="158"/>
    </row>
    <row r="571">
      <c r="F571" s="158"/>
      <c r="G571" s="158"/>
    </row>
    <row r="572">
      <c r="F572" s="158"/>
      <c r="G572" s="158"/>
    </row>
    <row r="573">
      <c r="F573" s="158"/>
      <c r="G573" s="158"/>
    </row>
    <row r="574">
      <c r="F574" s="158"/>
      <c r="G574" s="158"/>
    </row>
    <row r="575">
      <c r="F575" s="158"/>
      <c r="G575" s="158"/>
    </row>
    <row r="576">
      <c r="F576" s="158"/>
      <c r="G576" s="158"/>
    </row>
    <row r="577">
      <c r="F577" s="158"/>
      <c r="G577" s="158"/>
    </row>
    <row r="578">
      <c r="F578" s="158"/>
      <c r="G578" s="158"/>
    </row>
    <row r="579">
      <c r="F579" s="158"/>
      <c r="G579" s="158"/>
    </row>
    <row r="580">
      <c r="F580" s="158"/>
      <c r="G580" s="158"/>
    </row>
    <row r="581">
      <c r="F581" s="158"/>
      <c r="G581" s="158"/>
    </row>
    <row r="582">
      <c r="F582" s="158"/>
      <c r="G582" s="158"/>
    </row>
    <row r="583">
      <c r="F583" s="158"/>
      <c r="G583" s="158"/>
    </row>
    <row r="584">
      <c r="F584" s="158"/>
      <c r="G584" s="158"/>
    </row>
    <row r="585">
      <c r="F585" s="158"/>
      <c r="G585" s="158"/>
    </row>
    <row r="586">
      <c r="F586" s="158"/>
      <c r="G586" s="158"/>
    </row>
    <row r="587">
      <c r="F587" s="158"/>
      <c r="G587" s="158"/>
    </row>
    <row r="588">
      <c r="F588" s="158"/>
      <c r="G588" s="158"/>
    </row>
    <row r="589">
      <c r="F589" s="158"/>
      <c r="G589" s="158"/>
    </row>
    <row r="590">
      <c r="F590" s="158"/>
      <c r="G590" s="158"/>
    </row>
    <row r="591">
      <c r="F591" s="158"/>
      <c r="G591" s="158"/>
    </row>
    <row r="592">
      <c r="F592" s="158"/>
      <c r="G592" s="158"/>
    </row>
    <row r="593">
      <c r="F593" s="158"/>
      <c r="G593" s="158"/>
    </row>
    <row r="594">
      <c r="F594" s="158"/>
      <c r="G594" s="158"/>
    </row>
    <row r="595">
      <c r="F595" s="158"/>
      <c r="G595" s="158"/>
    </row>
    <row r="596">
      <c r="F596" s="158"/>
      <c r="G596" s="158"/>
    </row>
    <row r="597">
      <c r="F597" s="158"/>
      <c r="G597" s="158"/>
    </row>
    <row r="598">
      <c r="F598" s="158"/>
      <c r="G598" s="158"/>
    </row>
    <row r="599">
      <c r="F599" s="158"/>
      <c r="G599" s="158"/>
    </row>
    <row r="600">
      <c r="F600" s="158"/>
      <c r="G600" s="158"/>
    </row>
    <row r="601">
      <c r="F601" s="158"/>
      <c r="G601" s="158"/>
    </row>
    <row r="602">
      <c r="F602" s="158"/>
      <c r="G602" s="158"/>
    </row>
    <row r="603">
      <c r="F603" s="158"/>
      <c r="G603" s="158"/>
    </row>
    <row r="604">
      <c r="F604" s="158"/>
      <c r="G604" s="158"/>
    </row>
    <row r="605">
      <c r="F605" s="158"/>
      <c r="G605" s="158"/>
    </row>
    <row r="606">
      <c r="F606" s="158"/>
      <c r="G606" s="158"/>
    </row>
    <row r="607">
      <c r="F607" s="158"/>
      <c r="G607" s="158"/>
    </row>
    <row r="608">
      <c r="F608" s="158"/>
      <c r="G608" s="158"/>
    </row>
    <row r="609">
      <c r="F609" s="158"/>
      <c r="G609" s="158"/>
    </row>
    <row r="610">
      <c r="F610" s="158"/>
      <c r="G610" s="158"/>
    </row>
    <row r="611">
      <c r="F611" s="158"/>
      <c r="G611" s="158"/>
    </row>
    <row r="612">
      <c r="F612" s="158"/>
      <c r="G612" s="158"/>
    </row>
    <row r="613">
      <c r="F613" s="158"/>
      <c r="G613" s="158"/>
    </row>
    <row r="614">
      <c r="F614" s="158"/>
      <c r="G614" s="158"/>
    </row>
    <row r="615">
      <c r="F615" s="158"/>
      <c r="G615" s="158"/>
    </row>
    <row r="616">
      <c r="F616" s="158"/>
      <c r="G616" s="158"/>
    </row>
    <row r="617">
      <c r="F617" s="158"/>
      <c r="G617" s="158"/>
    </row>
    <row r="618">
      <c r="F618" s="158"/>
      <c r="G618" s="158"/>
    </row>
    <row r="619">
      <c r="F619" s="158"/>
      <c r="G619" s="158"/>
    </row>
    <row r="620">
      <c r="F620" s="158"/>
      <c r="G620" s="158"/>
    </row>
    <row r="621">
      <c r="F621" s="158"/>
      <c r="G621" s="158"/>
    </row>
    <row r="622">
      <c r="F622" s="158"/>
      <c r="G622" s="158"/>
    </row>
    <row r="623">
      <c r="F623" s="158"/>
      <c r="G623" s="158"/>
    </row>
    <row r="624">
      <c r="F624" s="158"/>
      <c r="G624" s="158"/>
    </row>
    <row r="625">
      <c r="F625" s="158"/>
      <c r="G625" s="158"/>
    </row>
    <row r="626">
      <c r="F626" s="158"/>
      <c r="G626" s="158"/>
    </row>
    <row r="627">
      <c r="F627" s="158"/>
      <c r="G627" s="158"/>
    </row>
    <row r="628">
      <c r="F628" s="158"/>
      <c r="G628" s="158"/>
    </row>
    <row r="629">
      <c r="F629" s="158"/>
      <c r="G629" s="158"/>
    </row>
    <row r="630">
      <c r="F630" s="158"/>
      <c r="G630" s="158"/>
    </row>
    <row r="631">
      <c r="F631" s="158"/>
      <c r="G631" s="158"/>
    </row>
    <row r="632">
      <c r="F632" s="158"/>
      <c r="G632" s="158"/>
    </row>
    <row r="633">
      <c r="F633" s="158"/>
      <c r="G633" s="158"/>
    </row>
    <row r="634">
      <c r="F634" s="158"/>
      <c r="G634" s="158"/>
    </row>
    <row r="635">
      <c r="F635" s="158"/>
      <c r="G635" s="158"/>
    </row>
    <row r="636">
      <c r="F636" s="158"/>
      <c r="G636" s="158"/>
    </row>
    <row r="637">
      <c r="F637" s="158"/>
      <c r="G637" s="158"/>
    </row>
    <row r="638">
      <c r="F638" s="158"/>
      <c r="G638" s="158"/>
    </row>
    <row r="639">
      <c r="F639" s="158"/>
      <c r="G639" s="158"/>
    </row>
    <row r="640">
      <c r="F640" s="158"/>
      <c r="G640" s="158"/>
    </row>
    <row r="641">
      <c r="F641" s="158"/>
      <c r="G641" s="158"/>
    </row>
    <row r="642">
      <c r="F642" s="158"/>
      <c r="G642" s="158"/>
    </row>
    <row r="643">
      <c r="F643" s="158"/>
      <c r="G643" s="158"/>
    </row>
    <row r="644">
      <c r="F644" s="158"/>
      <c r="G644" s="158"/>
    </row>
    <row r="645">
      <c r="F645" s="158"/>
      <c r="G645" s="158"/>
    </row>
    <row r="646">
      <c r="F646" s="158"/>
      <c r="G646" s="158"/>
    </row>
    <row r="647">
      <c r="F647" s="158"/>
      <c r="G647" s="158"/>
    </row>
    <row r="648">
      <c r="F648" s="158"/>
      <c r="G648" s="158"/>
    </row>
    <row r="649">
      <c r="F649" s="158"/>
      <c r="G649" s="158"/>
    </row>
    <row r="650">
      <c r="F650" s="158"/>
      <c r="G650" s="158"/>
    </row>
    <row r="651">
      <c r="F651" s="158"/>
      <c r="G651" s="158"/>
    </row>
    <row r="652">
      <c r="F652" s="158"/>
      <c r="G652" s="158"/>
    </row>
    <row r="653">
      <c r="F653" s="158"/>
      <c r="G653" s="158"/>
    </row>
    <row r="654">
      <c r="F654" s="158"/>
      <c r="G654" s="158"/>
    </row>
    <row r="655">
      <c r="F655" s="158"/>
      <c r="G655" s="158"/>
    </row>
    <row r="656">
      <c r="F656" s="158"/>
      <c r="G656" s="158"/>
    </row>
    <row r="657">
      <c r="F657" s="158"/>
      <c r="G657" s="158"/>
    </row>
    <row r="658">
      <c r="F658" s="158"/>
      <c r="G658" s="158"/>
    </row>
    <row r="659">
      <c r="F659" s="158"/>
      <c r="G659" s="158"/>
    </row>
    <row r="660">
      <c r="F660" s="158"/>
      <c r="G660" s="158"/>
    </row>
    <row r="661">
      <c r="F661" s="158"/>
      <c r="G661" s="158"/>
    </row>
    <row r="662">
      <c r="F662" s="158"/>
      <c r="G662" s="158"/>
    </row>
    <row r="663">
      <c r="F663" s="158"/>
      <c r="G663" s="158"/>
    </row>
    <row r="664">
      <c r="F664" s="158"/>
      <c r="G664" s="158"/>
    </row>
    <row r="665">
      <c r="F665" s="158"/>
      <c r="G665" s="158"/>
    </row>
    <row r="666">
      <c r="F666" s="158"/>
      <c r="G666" s="158"/>
    </row>
    <row r="667">
      <c r="F667" s="158"/>
      <c r="G667" s="158"/>
    </row>
    <row r="668">
      <c r="F668" s="158"/>
      <c r="G668" s="158"/>
    </row>
    <row r="669">
      <c r="F669" s="158"/>
      <c r="G669" s="158"/>
    </row>
    <row r="670">
      <c r="F670" s="158"/>
      <c r="G670" s="158"/>
    </row>
    <row r="671">
      <c r="F671" s="158"/>
      <c r="G671" s="158"/>
    </row>
    <row r="672">
      <c r="F672" s="158"/>
      <c r="G672" s="158"/>
    </row>
    <row r="673">
      <c r="F673" s="158"/>
      <c r="G673" s="158"/>
    </row>
    <row r="674">
      <c r="F674" s="158"/>
      <c r="G674" s="158"/>
    </row>
    <row r="675">
      <c r="F675" s="158"/>
      <c r="G675" s="158"/>
    </row>
    <row r="676">
      <c r="F676" s="158"/>
      <c r="G676" s="158"/>
    </row>
    <row r="677">
      <c r="F677" s="158"/>
      <c r="G677" s="158"/>
    </row>
    <row r="678">
      <c r="F678" s="158"/>
      <c r="G678" s="158"/>
    </row>
    <row r="679">
      <c r="F679" s="158"/>
      <c r="G679" s="158"/>
    </row>
    <row r="680">
      <c r="F680" s="158"/>
      <c r="G680" s="158"/>
    </row>
    <row r="681">
      <c r="F681" s="158"/>
      <c r="G681" s="158"/>
    </row>
    <row r="682">
      <c r="F682" s="158"/>
      <c r="G682" s="158"/>
    </row>
    <row r="683">
      <c r="F683" s="158"/>
      <c r="G683" s="158"/>
    </row>
    <row r="684">
      <c r="F684" s="158"/>
      <c r="G684" s="158"/>
    </row>
    <row r="685">
      <c r="F685" s="158"/>
      <c r="G685" s="158"/>
    </row>
    <row r="686">
      <c r="F686" s="158"/>
      <c r="G686" s="158"/>
    </row>
    <row r="687">
      <c r="F687" s="158"/>
      <c r="G687" s="158"/>
    </row>
    <row r="688">
      <c r="F688" s="158"/>
      <c r="G688" s="158"/>
    </row>
    <row r="689">
      <c r="F689" s="158"/>
      <c r="G689" s="158"/>
    </row>
    <row r="690">
      <c r="F690" s="158"/>
      <c r="G690" s="158"/>
    </row>
    <row r="691">
      <c r="F691" s="158"/>
      <c r="G691" s="158"/>
    </row>
    <row r="692">
      <c r="F692" s="158"/>
      <c r="G692" s="158"/>
    </row>
    <row r="693">
      <c r="F693" s="158"/>
      <c r="G693" s="158"/>
    </row>
    <row r="694">
      <c r="F694" s="158"/>
      <c r="G694" s="158"/>
    </row>
    <row r="695">
      <c r="F695" s="158"/>
      <c r="G695" s="158"/>
    </row>
    <row r="696">
      <c r="F696" s="158"/>
      <c r="G696" s="158"/>
    </row>
    <row r="697">
      <c r="F697" s="158"/>
      <c r="G697" s="158"/>
    </row>
    <row r="698">
      <c r="F698" s="158"/>
      <c r="G698" s="158"/>
    </row>
    <row r="699">
      <c r="F699" s="158"/>
      <c r="G699" s="158"/>
    </row>
    <row r="700">
      <c r="F700" s="158"/>
      <c r="G700" s="158"/>
    </row>
    <row r="701">
      <c r="F701" s="158"/>
      <c r="G701" s="158"/>
    </row>
    <row r="702">
      <c r="F702" s="158"/>
      <c r="G702" s="158"/>
    </row>
    <row r="703">
      <c r="F703" s="158"/>
      <c r="G703" s="158"/>
    </row>
    <row r="704">
      <c r="F704" s="158"/>
      <c r="G704" s="158"/>
    </row>
    <row r="705">
      <c r="F705" s="158"/>
      <c r="G705" s="158"/>
    </row>
    <row r="706">
      <c r="F706" s="158"/>
      <c r="G706" s="158"/>
    </row>
    <row r="707">
      <c r="F707" s="158"/>
      <c r="G707" s="158"/>
    </row>
    <row r="708">
      <c r="F708" s="158"/>
      <c r="G708" s="158"/>
    </row>
    <row r="709">
      <c r="F709" s="158"/>
      <c r="G709" s="158"/>
    </row>
    <row r="710">
      <c r="F710" s="158"/>
      <c r="G710" s="158"/>
    </row>
    <row r="711">
      <c r="F711" s="158"/>
      <c r="G711" s="158"/>
    </row>
    <row r="712">
      <c r="F712" s="158"/>
      <c r="G712" s="158"/>
    </row>
    <row r="713">
      <c r="F713" s="158"/>
      <c r="G713" s="158"/>
    </row>
    <row r="714">
      <c r="F714" s="158"/>
      <c r="G714" s="158"/>
    </row>
    <row r="715">
      <c r="F715" s="158"/>
      <c r="G715" s="158"/>
    </row>
    <row r="716">
      <c r="F716" s="158"/>
      <c r="G716" s="158"/>
    </row>
    <row r="717">
      <c r="F717" s="158"/>
      <c r="G717" s="158"/>
    </row>
    <row r="718">
      <c r="F718" s="158"/>
      <c r="G718" s="158"/>
    </row>
    <row r="719">
      <c r="F719" s="158"/>
      <c r="G719" s="158"/>
    </row>
    <row r="720">
      <c r="F720" s="158"/>
      <c r="G720" s="158"/>
    </row>
    <row r="721">
      <c r="F721" s="158"/>
      <c r="G721" s="158"/>
    </row>
    <row r="722">
      <c r="F722" s="158"/>
      <c r="G722" s="158"/>
    </row>
    <row r="723">
      <c r="F723" s="158"/>
      <c r="G723" s="158"/>
    </row>
    <row r="724">
      <c r="F724" s="158"/>
      <c r="G724" s="158"/>
    </row>
    <row r="725">
      <c r="F725" s="158"/>
      <c r="G725" s="158"/>
    </row>
    <row r="726">
      <c r="F726" s="158"/>
      <c r="G726" s="158"/>
    </row>
    <row r="727">
      <c r="F727" s="158"/>
      <c r="G727" s="158"/>
    </row>
    <row r="728">
      <c r="F728" s="158"/>
      <c r="G728" s="158"/>
    </row>
    <row r="729">
      <c r="F729" s="158"/>
      <c r="G729" s="158"/>
    </row>
    <row r="730">
      <c r="F730" s="158"/>
      <c r="G730" s="158"/>
    </row>
    <row r="731">
      <c r="F731" s="158"/>
      <c r="G731" s="158"/>
    </row>
    <row r="732">
      <c r="F732" s="158"/>
      <c r="G732" s="158"/>
    </row>
    <row r="733">
      <c r="F733" s="158"/>
      <c r="G733" s="158"/>
    </row>
    <row r="734">
      <c r="F734" s="158"/>
      <c r="G734" s="158"/>
    </row>
    <row r="735">
      <c r="F735" s="158"/>
      <c r="G735" s="158"/>
    </row>
    <row r="736">
      <c r="F736" s="158"/>
      <c r="G736" s="158"/>
    </row>
    <row r="737">
      <c r="F737" s="158"/>
      <c r="G737" s="158"/>
    </row>
    <row r="738">
      <c r="F738" s="158"/>
      <c r="G738" s="158"/>
    </row>
    <row r="739">
      <c r="F739" s="158"/>
      <c r="G739" s="158"/>
    </row>
    <row r="740">
      <c r="F740" s="158"/>
      <c r="G740" s="158"/>
    </row>
    <row r="741">
      <c r="F741" s="158"/>
      <c r="G741" s="158"/>
    </row>
    <row r="742">
      <c r="F742" s="158"/>
      <c r="G742" s="158"/>
    </row>
    <row r="743">
      <c r="F743" s="158"/>
      <c r="G743" s="158"/>
    </row>
    <row r="744">
      <c r="F744" s="158"/>
      <c r="G744" s="158"/>
    </row>
    <row r="745">
      <c r="F745" s="158"/>
      <c r="G745" s="158"/>
    </row>
    <row r="746">
      <c r="F746" s="158"/>
      <c r="G746" s="158"/>
    </row>
    <row r="747">
      <c r="F747" s="158"/>
      <c r="G747" s="158"/>
    </row>
    <row r="748">
      <c r="F748" s="158"/>
      <c r="G748" s="158"/>
    </row>
    <row r="749">
      <c r="F749" s="158"/>
      <c r="G749" s="158"/>
    </row>
    <row r="750">
      <c r="F750" s="158"/>
      <c r="G750" s="158"/>
    </row>
    <row r="751">
      <c r="F751" s="158"/>
      <c r="G751" s="158"/>
    </row>
    <row r="752">
      <c r="F752" s="158"/>
      <c r="G752" s="158"/>
    </row>
    <row r="753">
      <c r="F753" s="158"/>
      <c r="G753" s="158"/>
    </row>
    <row r="754">
      <c r="F754" s="158"/>
      <c r="G754" s="158"/>
    </row>
    <row r="755">
      <c r="F755" s="158"/>
      <c r="G755" s="158"/>
    </row>
    <row r="756">
      <c r="F756" s="158"/>
      <c r="G756" s="158"/>
    </row>
    <row r="757">
      <c r="F757" s="158"/>
      <c r="G757" s="158"/>
    </row>
    <row r="758">
      <c r="F758" s="158"/>
      <c r="G758" s="158"/>
    </row>
    <row r="759">
      <c r="F759" s="158"/>
      <c r="G759" s="158"/>
    </row>
    <row r="760">
      <c r="F760" s="158"/>
      <c r="G760" s="158"/>
    </row>
    <row r="761">
      <c r="F761" s="158"/>
      <c r="G761" s="158"/>
    </row>
    <row r="762">
      <c r="F762" s="158"/>
      <c r="G762" s="158"/>
    </row>
    <row r="763">
      <c r="F763" s="158"/>
      <c r="G763" s="158"/>
    </row>
    <row r="764">
      <c r="F764" s="158"/>
      <c r="G764" s="158"/>
    </row>
    <row r="765">
      <c r="F765" s="158"/>
      <c r="G765" s="158"/>
    </row>
    <row r="766">
      <c r="F766" s="158"/>
      <c r="G766" s="158"/>
    </row>
    <row r="767">
      <c r="F767" s="158"/>
      <c r="G767" s="158"/>
    </row>
    <row r="768">
      <c r="F768" s="158"/>
      <c r="G768" s="158"/>
    </row>
    <row r="769">
      <c r="F769" s="158"/>
      <c r="G769" s="158"/>
    </row>
    <row r="770">
      <c r="F770" s="158"/>
      <c r="G770" s="158"/>
    </row>
    <row r="771">
      <c r="F771" s="158"/>
      <c r="G771" s="158"/>
    </row>
    <row r="772">
      <c r="F772" s="158"/>
      <c r="G772" s="158"/>
    </row>
    <row r="773">
      <c r="F773" s="158"/>
      <c r="G773" s="158"/>
    </row>
    <row r="774">
      <c r="F774" s="158"/>
      <c r="G774" s="158"/>
    </row>
    <row r="775">
      <c r="F775" s="158"/>
      <c r="G775" s="158"/>
    </row>
    <row r="776">
      <c r="F776" s="158"/>
      <c r="G776" s="158"/>
    </row>
    <row r="777">
      <c r="F777" s="158"/>
      <c r="G777" s="158"/>
    </row>
    <row r="778">
      <c r="F778" s="158"/>
      <c r="G778" s="158"/>
    </row>
    <row r="779">
      <c r="F779" s="158"/>
      <c r="G779" s="158"/>
    </row>
    <row r="780">
      <c r="F780" s="158"/>
      <c r="G780" s="158"/>
    </row>
    <row r="781">
      <c r="F781" s="158"/>
      <c r="G781" s="158"/>
    </row>
    <row r="782">
      <c r="F782" s="158"/>
      <c r="G782" s="158"/>
    </row>
    <row r="783">
      <c r="F783" s="158"/>
      <c r="G783" s="158"/>
    </row>
    <row r="784">
      <c r="F784" s="158"/>
      <c r="G784" s="158"/>
    </row>
    <row r="785">
      <c r="F785" s="158"/>
      <c r="G785" s="158"/>
    </row>
    <row r="786">
      <c r="F786" s="158"/>
      <c r="G786" s="158"/>
    </row>
    <row r="787">
      <c r="F787" s="158"/>
      <c r="G787" s="158"/>
    </row>
    <row r="788">
      <c r="F788" s="158"/>
      <c r="G788" s="158"/>
    </row>
    <row r="789">
      <c r="F789" s="158"/>
      <c r="G789" s="158"/>
    </row>
    <row r="790">
      <c r="F790" s="158"/>
      <c r="G790" s="158"/>
    </row>
    <row r="791">
      <c r="F791" s="158"/>
      <c r="G791" s="158"/>
    </row>
    <row r="792">
      <c r="F792" s="158"/>
      <c r="G792" s="158"/>
    </row>
    <row r="793">
      <c r="F793" s="158"/>
      <c r="G793" s="158"/>
    </row>
    <row r="794">
      <c r="F794" s="158"/>
      <c r="G794" s="158"/>
    </row>
    <row r="795">
      <c r="F795" s="158"/>
      <c r="G795" s="158"/>
    </row>
    <row r="796">
      <c r="F796" s="158"/>
      <c r="G796" s="158"/>
    </row>
    <row r="797">
      <c r="F797" s="158"/>
      <c r="G797" s="158"/>
    </row>
    <row r="798">
      <c r="F798" s="158"/>
      <c r="G798" s="158"/>
    </row>
    <row r="799">
      <c r="F799" s="158"/>
      <c r="G799" s="158"/>
    </row>
    <row r="800">
      <c r="F800" s="158"/>
      <c r="G800" s="158"/>
    </row>
    <row r="801">
      <c r="F801" s="158"/>
      <c r="G801" s="158"/>
    </row>
    <row r="802">
      <c r="F802" s="158"/>
      <c r="G802" s="158"/>
    </row>
    <row r="803">
      <c r="F803" s="158"/>
      <c r="G803" s="158"/>
    </row>
    <row r="804">
      <c r="F804" s="158"/>
      <c r="G804" s="158"/>
    </row>
    <row r="805">
      <c r="F805" s="158"/>
      <c r="G805" s="158"/>
    </row>
    <row r="806">
      <c r="F806" s="158"/>
      <c r="G806" s="158"/>
    </row>
    <row r="807">
      <c r="F807" s="158"/>
      <c r="G807" s="158"/>
    </row>
    <row r="808">
      <c r="F808" s="158"/>
      <c r="G808" s="158"/>
    </row>
    <row r="809">
      <c r="F809" s="158"/>
      <c r="G809" s="158"/>
    </row>
    <row r="810">
      <c r="F810" s="158"/>
      <c r="G810" s="158"/>
    </row>
    <row r="811">
      <c r="F811" s="158"/>
      <c r="G811" s="158"/>
    </row>
    <row r="812">
      <c r="F812" s="158"/>
      <c r="G812" s="158"/>
    </row>
    <row r="813">
      <c r="F813" s="158"/>
      <c r="G813" s="158"/>
    </row>
    <row r="814">
      <c r="F814" s="158"/>
      <c r="G814" s="158"/>
    </row>
    <row r="815">
      <c r="F815" s="158"/>
      <c r="G815" s="158"/>
    </row>
    <row r="816">
      <c r="F816" s="158"/>
      <c r="G816" s="158"/>
    </row>
    <row r="817">
      <c r="F817" s="158"/>
      <c r="G817" s="158"/>
    </row>
    <row r="818">
      <c r="F818" s="158"/>
      <c r="G818" s="158"/>
    </row>
    <row r="819">
      <c r="F819" s="158"/>
      <c r="G819" s="158"/>
    </row>
    <row r="820">
      <c r="F820" s="158"/>
      <c r="G820" s="158"/>
    </row>
    <row r="821">
      <c r="F821" s="158"/>
      <c r="G821" s="158"/>
    </row>
    <row r="822">
      <c r="F822" s="158"/>
      <c r="G822" s="158"/>
    </row>
    <row r="823">
      <c r="F823" s="158"/>
      <c r="G823" s="158"/>
    </row>
    <row r="824">
      <c r="F824" s="158"/>
      <c r="G824" s="158"/>
    </row>
    <row r="825">
      <c r="F825" s="158"/>
      <c r="G825" s="158"/>
    </row>
    <row r="826">
      <c r="F826" s="158"/>
      <c r="G826" s="158"/>
    </row>
    <row r="827">
      <c r="F827" s="158"/>
      <c r="G827" s="158"/>
    </row>
    <row r="828">
      <c r="F828" s="158"/>
      <c r="G828" s="158"/>
    </row>
    <row r="829">
      <c r="F829" s="158"/>
      <c r="G829" s="158"/>
    </row>
    <row r="830">
      <c r="F830" s="158"/>
      <c r="G830" s="158"/>
    </row>
    <row r="831">
      <c r="F831" s="158"/>
      <c r="G831" s="158"/>
    </row>
    <row r="832">
      <c r="F832" s="158"/>
      <c r="G832" s="158"/>
    </row>
    <row r="833">
      <c r="F833" s="158"/>
      <c r="G833" s="158"/>
    </row>
    <row r="834">
      <c r="F834" s="158"/>
      <c r="G834" s="158"/>
    </row>
    <row r="835">
      <c r="F835" s="158"/>
      <c r="G835" s="158"/>
    </row>
    <row r="836">
      <c r="F836" s="158"/>
      <c r="G836" s="158"/>
    </row>
    <row r="837">
      <c r="F837" s="158"/>
      <c r="G837" s="158"/>
    </row>
    <row r="838">
      <c r="F838" s="158"/>
      <c r="G838" s="158"/>
    </row>
    <row r="839">
      <c r="F839" s="158"/>
      <c r="G839" s="158"/>
    </row>
    <row r="840">
      <c r="F840" s="158"/>
      <c r="G840" s="158"/>
    </row>
    <row r="841">
      <c r="F841" s="158"/>
      <c r="G841" s="158"/>
    </row>
    <row r="842">
      <c r="F842" s="158"/>
      <c r="G842" s="158"/>
    </row>
    <row r="843">
      <c r="F843" s="158"/>
      <c r="G843" s="158"/>
    </row>
    <row r="844">
      <c r="F844" s="158"/>
      <c r="G844" s="158"/>
    </row>
    <row r="845">
      <c r="F845" s="158"/>
      <c r="G845" s="158"/>
    </row>
    <row r="846">
      <c r="F846" s="158"/>
      <c r="G846" s="158"/>
    </row>
    <row r="847">
      <c r="F847" s="158"/>
      <c r="G847" s="158"/>
    </row>
    <row r="848">
      <c r="F848" s="158"/>
      <c r="G848" s="158"/>
    </row>
    <row r="849">
      <c r="F849" s="158"/>
      <c r="G849" s="158"/>
    </row>
    <row r="850">
      <c r="F850" s="158"/>
      <c r="G850" s="158"/>
    </row>
    <row r="851">
      <c r="F851" s="158"/>
      <c r="G851" s="158"/>
    </row>
    <row r="852">
      <c r="F852" s="158"/>
      <c r="G852" s="158"/>
    </row>
    <row r="853">
      <c r="F853" s="158"/>
      <c r="G853" s="158"/>
    </row>
    <row r="854">
      <c r="F854" s="158"/>
      <c r="G854" s="158"/>
    </row>
    <row r="855">
      <c r="F855" s="158"/>
      <c r="G855" s="158"/>
    </row>
    <row r="856">
      <c r="F856" s="158"/>
      <c r="G856" s="158"/>
    </row>
    <row r="857">
      <c r="F857" s="158"/>
      <c r="G857" s="158"/>
    </row>
    <row r="858">
      <c r="F858" s="158"/>
      <c r="G858" s="158"/>
    </row>
    <row r="859">
      <c r="F859" s="158"/>
      <c r="G859" s="158"/>
    </row>
    <row r="860">
      <c r="F860" s="158"/>
      <c r="G860" s="158"/>
    </row>
    <row r="861">
      <c r="F861" s="158"/>
      <c r="G861" s="158"/>
    </row>
    <row r="862">
      <c r="F862" s="158"/>
      <c r="G862" s="158"/>
    </row>
    <row r="863">
      <c r="F863" s="158"/>
      <c r="G863" s="158"/>
    </row>
    <row r="864">
      <c r="F864" s="158"/>
      <c r="G864" s="158"/>
    </row>
    <row r="865">
      <c r="F865" s="158"/>
      <c r="G865" s="158"/>
    </row>
    <row r="866">
      <c r="F866" s="158"/>
      <c r="G866" s="158"/>
    </row>
    <row r="867">
      <c r="F867" s="158"/>
      <c r="G867" s="158"/>
    </row>
    <row r="868">
      <c r="F868" s="158"/>
      <c r="G868" s="158"/>
    </row>
    <row r="869">
      <c r="F869" s="158"/>
      <c r="G869" s="158"/>
    </row>
    <row r="870">
      <c r="F870" s="158"/>
      <c r="G870" s="158"/>
    </row>
    <row r="871">
      <c r="F871" s="158"/>
      <c r="G871" s="158"/>
    </row>
    <row r="872">
      <c r="F872" s="158"/>
      <c r="G872" s="158"/>
    </row>
    <row r="873">
      <c r="F873" s="158"/>
      <c r="G873" s="158"/>
    </row>
    <row r="874">
      <c r="F874" s="158"/>
      <c r="G874" s="158"/>
    </row>
    <row r="875">
      <c r="F875" s="158"/>
      <c r="G875" s="158"/>
    </row>
    <row r="876">
      <c r="F876" s="158"/>
      <c r="G876" s="158"/>
    </row>
    <row r="877">
      <c r="F877" s="158"/>
      <c r="G877" s="158"/>
    </row>
    <row r="878">
      <c r="F878" s="158"/>
      <c r="G878" s="158"/>
    </row>
    <row r="879">
      <c r="F879" s="158"/>
      <c r="G879" s="158"/>
    </row>
    <row r="880">
      <c r="F880" s="158"/>
      <c r="G880" s="158"/>
    </row>
    <row r="881">
      <c r="F881" s="158"/>
      <c r="G881" s="158"/>
    </row>
    <row r="882">
      <c r="F882" s="158"/>
      <c r="G882" s="158"/>
    </row>
    <row r="883">
      <c r="F883" s="158"/>
      <c r="G883" s="158"/>
    </row>
    <row r="884">
      <c r="F884" s="158"/>
      <c r="G884" s="158"/>
    </row>
    <row r="885">
      <c r="F885" s="158"/>
      <c r="G885" s="158"/>
    </row>
    <row r="886">
      <c r="F886" s="158"/>
      <c r="G886" s="158"/>
    </row>
    <row r="887">
      <c r="F887" s="158"/>
      <c r="G887" s="158"/>
    </row>
    <row r="888">
      <c r="F888" s="158"/>
      <c r="G888" s="158"/>
    </row>
    <row r="889">
      <c r="F889" s="158"/>
      <c r="G889" s="158"/>
    </row>
    <row r="890">
      <c r="F890" s="158"/>
      <c r="G890" s="158"/>
    </row>
    <row r="891">
      <c r="F891" s="158"/>
      <c r="G891" s="158"/>
    </row>
    <row r="892">
      <c r="F892" s="158"/>
      <c r="G892" s="158"/>
    </row>
    <row r="893">
      <c r="F893" s="158"/>
      <c r="G893" s="158"/>
    </row>
    <row r="894">
      <c r="F894" s="158"/>
      <c r="G894" s="158"/>
    </row>
    <row r="895">
      <c r="F895" s="158"/>
      <c r="G895" s="158"/>
    </row>
    <row r="896">
      <c r="F896" s="158"/>
      <c r="G896" s="158"/>
    </row>
    <row r="897">
      <c r="F897" s="158"/>
      <c r="G897" s="158"/>
    </row>
    <row r="898">
      <c r="F898" s="158"/>
      <c r="G898" s="158"/>
    </row>
    <row r="899">
      <c r="F899" s="158"/>
      <c r="G899" s="158"/>
    </row>
    <row r="900">
      <c r="F900" s="158"/>
      <c r="G900" s="158"/>
    </row>
    <row r="901">
      <c r="F901" s="158"/>
      <c r="G901" s="158"/>
    </row>
    <row r="902">
      <c r="F902" s="158"/>
      <c r="G902" s="158"/>
    </row>
    <row r="903">
      <c r="F903" s="158"/>
      <c r="G903" s="158"/>
    </row>
    <row r="904">
      <c r="F904" s="158"/>
      <c r="G904" s="158"/>
    </row>
    <row r="905">
      <c r="F905" s="158"/>
      <c r="G905" s="158"/>
    </row>
    <row r="906">
      <c r="F906" s="158"/>
      <c r="G906" s="158"/>
    </row>
    <row r="907">
      <c r="F907" s="158"/>
      <c r="G907" s="158"/>
    </row>
    <row r="908">
      <c r="F908" s="158"/>
      <c r="G908" s="158"/>
    </row>
    <row r="909">
      <c r="F909" s="158"/>
      <c r="G909" s="158"/>
    </row>
    <row r="910">
      <c r="F910" s="158"/>
      <c r="G910" s="158"/>
    </row>
    <row r="911">
      <c r="F911" s="158"/>
      <c r="G911" s="158"/>
    </row>
    <row r="912">
      <c r="F912" s="158"/>
      <c r="G912" s="158"/>
    </row>
    <row r="913">
      <c r="F913" s="158"/>
      <c r="G913" s="158"/>
    </row>
    <row r="914">
      <c r="F914" s="158"/>
      <c r="G914" s="158"/>
    </row>
    <row r="915">
      <c r="F915" s="158"/>
      <c r="G915" s="158"/>
    </row>
    <row r="916">
      <c r="F916" s="158"/>
      <c r="G916" s="158"/>
    </row>
    <row r="917">
      <c r="F917" s="158"/>
      <c r="G917" s="158"/>
    </row>
    <row r="918">
      <c r="F918" s="158"/>
      <c r="G918" s="158"/>
    </row>
    <row r="919">
      <c r="F919" s="158"/>
      <c r="G919" s="158"/>
    </row>
    <row r="920">
      <c r="F920" s="158"/>
      <c r="G920" s="158"/>
    </row>
    <row r="921">
      <c r="F921" s="158"/>
      <c r="G921" s="158"/>
    </row>
    <row r="922">
      <c r="F922" s="158"/>
      <c r="G922" s="158"/>
    </row>
    <row r="923">
      <c r="F923" s="158"/>
      <c r="G923" s="158"/>
    </row>
    <row r="924">
      <c r="F924" s="158"/>
      <c r="G924" s="158"/>
    </row>
    <row r="925">
      <c r="F925" s="158"/>
      <c r="G925" s="158"/>
    </row>
    <row r="926">
      <c r="F926" s="158"/>
      <c r="G926" s="158"/>
    </row>
    <row r="927">
      <c r="F927" s="158"/>
      <c r="G927" s="158"/>
    </row>
    <row r="928">
      <c r="F928" s="158"/>
      <c r="G928" s="158"/>
    </row>
    <row r="929">
      <c r="F929" s="158"/>
      <c r="G929" s="158"/>
    </row>
    <row r="930">
      <c r="F930" s="158"/>
      <c r="G930" s="158"/>
    </row>
    <row r="931">
      <c r="F931" s="158"/>
      <c r="G931" s="158"/>
    </row>
    <row r="932">
      <c r="F932" s="158"/>
      <c r="G932" s="158"/>
    </row>
    <row r="933">
      <c r="F933" s="158"/>
      <c r="G933" s="158"/>
    </row>
    <row r="934">
      <c r="F934" s="158"/>
      <c r="G934" s="158"/>
    </row>
    <row r="935">
      <c r="F935" s="158"/>
      <c r="G935" s="158"/>
    </row>
    <row r="936">
      <c r="F936" s="158"/>
      <c r="G936" s="158"/>
    </row>
    <row r="937">
      <c r="F937" s="158"/>
      <c r="G937" s="158"/>
    </row>
    <row r="938">
      <c r="F938" s="158"/>
      <c r="G938" s="158"/>
    </row>
    <row r="939">
      <c r="F939" s="158"/>
      <c r="G939" s="158"/>
    </row>
    <row r="940">
      <c r="F940" s="158"/>
      <c r="G940" s="158"/>
    </row>
    <row r="941">
      <c r="F941" s="158"/>
      <c r="G941" s="158"/>
    </row>
    <row r="942">
      <c r="F942" s="158"/>
      <c r="G942" s="158"/>
    </row>
    <row r="943">
      <c r="F943" s="158"/>
      <c r="G943" s="158"/>
    </row>
    <row r="944">
      <c r="F944" s="158"/>
      <c r="G944" s="158"/>
    </row>
    <row r="945">
      <c r="F945" s="158"/>
      <c r="G945" s="158"/>
    </row>
    <row r="946">
      <c r="F946" s="158"/>
      <c r="G946" s="158"/>
    </row>
    <row r="947">
      <c r="F947" s="158"/>
      <c r="G947" s="158"/>
    </row>
    <row r="948">
      <c r="F948" s="158"/>
      <c r="G948" s="158"/>
    </row>
    <row r="949">
      <c r="F949" s="158"/>
      <c r="G949" s="158"/>
    </row>
    <row r="950">
      <c r="F950" s="158"/>
      <c r="G950" s="158"/>
    </row>
    <row r="951">
      <c r="F951" s="158"/>
      <c r="G951" s="158"/>
    </row>
    <row r="952">
      <c r="F952" s="158"/>
      <c r="G952" s="158"/>
    </row>
    <row r="953">
      <c r="F953" s="158"/>
      <c r="G953" s="158"/>
    </row>
    <row r="954">
      <c r="F954" s="158"/>
      <c r="G954" s="158"/>
    </row>
    <row r="955">
      <c r="F955" s="158"/>
      <c r="G955" s="158"/>
    </row>
    <row r="956">
      <c r="F956" s="158"/>
      <c r="G956" s="158"/>
    </row>
    <row r="957">
      <c r="F957" s="158"/>
      <c r="G957" s="158"/>
    </row>
    <row r="958">
      <c r="F958" s="158"/>
      <c r="G958" s="158"/>
    </row>
    <row r="959">
      <c r="F959" s="158"/>
      <c r="G959" s="158"/>
    </row>
    <row r="960">
      <c r="F960" s="158"/>
      <c r="G960" s="158"/>
    </row>
    <row r="961">
      <c r="F961" s="158"/>
      <c r="G961" s="158"/>
    </row>
    <row r="962">
      <c r="F962" s="158"/>
      <c r="G962" s="158"/>
    </row>
    <row r="963">
      <c r="F963" s="158"/>
      <c r="G963" s="158"/>
    </row>
    <row r="964">
      <c r="F964" s="158"/>
      <c r="G964" s="158"/>
    </row>
    <row r="965">
      <c r="F965" s="158"/>
      <c r="G965" s="158"/>
    </row>
    <row r="966">
      <c r="F966" s="158"/>
      <c r="G966" s="158"/>
    </row>
    <row r="967">
      <c r="F967" s="158"/>
      <c r="G967" s="158"/>
    </row>
    <row r="968">
      <c r="F968" s="158"/>
      <c r="G968" s="158"/>
    </row>
    <row r="969">
      <c r="F969" s="158"/>
      <c r="G969" s="158"/>
    </row>
    <row r="970">
      <c r="F970" s="158"/>
      <c r="G970" s="158"/>
    </row>
    <row r="971">
      <c r="F971" s="158"/>
      <c r="G971" s="158"/>
    </row>
    <row r="972">
      <c r="F972" s="158"/>
      <c r="G972" s="158"/>
    </row>
    <row r="973">
      <c r="F973" s="158"/>
      <c r="G973" s="158"/>
    </row>
    <row r="974">
      <c r="F974" s="158"/>
      <c r="G974" s="158"/>
    </row>
    <row r="975">
      <c r="F975" s="158"/>
      <c r="G975" s="158"/>
    </row>
    <row r="976">
      <c r="F976" s="158"/>
      <c r="G976" s="158"/>
    </row>
    <row r="977">
      <c r="F977" s="158"/>
      <c r="G977" s="158"/>
    </row>
    <row r="978">
      <c r="F978" s="158"/>
      <c r="G978" s="158"/>
    </row>
    <row r="979">
      <c r="F979" s="158"/>
      <c r="G979" s="158"/>
    </row>
    <row r="980">
      <c r="F980" s="158"/>
      <c r="G980" s="158"/>
    </row>
    <row r="981">
      <c r="F981" s="158"/>
      <c r="G981" s="158"/>
    </row>
    <row r="982">
      <c r="F982" s="158"/>
      <c r="G982" s="158"/>
    </row>
    <row r="983">
      <c r="F983" s="158"/>
      <c r="G983" s="158"/>
    </row>
    <row r="984">
      <c r="F984" s="158"/>
      <c r="G984" s="158"/>
    </row>
    <row r="985">
      <c r="F985" s="158"/>
      <c r="G985" s="158"/>
    </row>
    <row r="986">
      <c r="F986" s="158"/>
      <c r="G986" s="158"/>
    </row>
    <row r="987">
      <c r="F987" s="158"/>
      <c r="G987" s="158"/>
    </row>
    <row r="988">
      <c r="F988" s="158"/>
      <c r="G988" s="158"/>
    </row>
    <row r="989">
      <c r="F989" s="158"/>
      <c r="G989" s="158"/>
    </row>
    <row r="990">
      <c r="F990" s="158"/>
      <c r="G990" s="158"/>
    </row>
    <row r="991">
      <c r="F991" s="158"/>
      <c r="G991" s="158"/>
    </row>
    <row r="992">
      <c r="F992" s="158"/>
      <c r="G992" s="158"/>
    </row>
    <row r="993">
      <c r="F993" s="158"/>
      <c r="G993" s="158"/>
    </row>
    <row r="994">
      <c r="F994" s="158"/>
      <c r="G994" s="158"/>
    </row>
    <row r="995">
      <c r="F995" s="158"/>
      <c r="G995" s="158"/>
    </row>
    <row r="996">
      <c r="F996" s="158"/>
      <c r="G996" s="158"/>
    </row>
    <row r="997">
      <c r="F997" s="158"/>
      <c r="G997" s="158"/>
    </row>
    <row r="998">
      <c r="F998" s="158"/>
      <c r="G998" s="158"/>
    </row>
    <row r="999">
      <c r="F999" s="158"/>
      <c r="G999" s="158"/>
    </row>
    <row r="1000">
      <c r="F1000" s="158"/>
      <c r="G1000" s="158"/>
    </row>
    <row r="1001">
      <c r="F1001" s="158"/>
      <c r="G1001" s="158"/>
    </row>
    <row r="1002">
      <c r="F1002" s="158"/>
      <c r="G1002" s="158"/>
    </row>
    <row r="1003">
      <c r="F1003" s="158"/>
      <c r="G1003" s="158"/>
    </row>
    <row r="1004">
      <c r="F1004" s="158"/>
      <c r="G1004" s="158"/>
    </row>
    <row r="1005">
      <c r="F1005" s="158"/>
      <c r="G1005" s="158"/>
    </row>
    <row r="1006">
      <c r="F1006" s="158"/>
      <c r="G1006" s="158"/>
    </row>
    <row r="1007">
      <c r="F1007" s="158"/>
      <c r="G1007" s="158"/>
    </row>
  </sheetData>
  <mergeCells count="2">
    <mergeCell ref="A1:E1"/>
    <mergeCell ref="K3:L3"/>
  </mergeCell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3.71"/>
    <col customWidth="1" min="2" max="2" width="29.86"/>
    <col customWidth="1" min="3" max="3" width="21.43"/>
    <col customWidth="1" min="5" max="5" width="18.29"/>
    <col customWidth="1" min="6" max="6" width="20.43"/>
    <col customWidth="1" min="7" max="7" width="13.0"/>
    <col customWidth="1" min="8" max="8" width="29.0"/>
  </cols>
  <sheetData>
    <row r="1">
      <c r="A1" s="200" t="s">
        <v>397</v>
      </c>
      <c r="B1" s="201"/>
      <c r="C1" s="139"/>
      <c r="D1" s="139"/>
      <c r="E1" s="140"/>
      <c r="F1" s="141"/>
      <c r="G1" s="140"/>
      <c r="H1" s="142"/>
      <c r="I1" s="140"/>
      <c r="J1" s="143"/>
    </row>
    <row r="2">
      <c r="A2" s="202" t="s">
        <v>398</v>
      </c>
      <c r="B2" s="201"/>
      <c r="C2" s="148"/>
      <c r="D2" s="149"/>
      <c r="E2" s="150"/>
      <c r="F2" s="149"/>
      <c r="G2" s="148"/>
      <c r="H2" s="142"/>
      <c r="I2" s="148"/>
      <c r="J2" s="143"/>
    </row>
    <row r="3">
      <c r="A3" s="203" t="s">
        <v>399</v>
      </c>
      <c r="B3" s="201"/>
      <c r="C3" s="155"/>
      <c r="D3" s="150"/>
      <c r="E3" s="156"/>
      <c r="F3" s="150"/>
      <c r="G3" s="157"/>
      <c r="H3" s="158"/>
      <c r="J3" s="143"/>
    </row>
    <row r="4">
      <c r="A4" s="204" t="s">
        <v>400</v>
      </c>
      <c r="B4" s="205">
        <f>12440.15+5125.5</f>
        <v>17565.65</v>
      </c>
      <c r="C4" s="156"/>
      <c r="D4" s="149"/>
      <c r="E4" s="150"/>
      <c r="F4" s="149"/>
      <c r="G4" s="160"/>
      <c r="H4" s="143"/>
      <c r="I4" s="143"/>
      <c r="J4" s="143"/>
    </row>
    <row r="5">
      <c r="A5" s="204" t="s">
        <v>401</v>
      </c>
      <c r="B5" s="206"/>
      <c r="C5" s="156"/>
      <c r="F5" s="141"/>
      <c r="G5" s="160"/>
      <c r="H5" s="143"/>
      <c r="I5" s="160"/>
      <c r="J5" s="143"/>
    </row>
    <row r="6">
      <c r="A6" s="204" t="s">
        <v>402</v>
      </c>
      <c r="B6" s="206"/>
      <c r="C6" s="156"/>
      <c r="F6" s="161"/>
      <c r="G6" s="160"/>
      <c r="H6" s="143"/>
      <c r="I6" s="160"/>
      <c r="J6" s="143"/>
    </row>
    <row r="7">
      <c r="A7" s="207" t="s">
        <v>403</v>
      </c>
      <c r="B7" s="208">
        <f>B4</f>
        <v>17565.65</v>
      </c>
      <c r="C7" s="157"/>
      <c r="F7" s="141"/>
      <c r="G7" s="160"/>
      <c r="H7" s="160"/>
      <c r="I7" s="160"/>
      <c r="J7" s="143"/>
    </row>
    <row r="8">
      <c r="A8" s="203" t="s">
        <v>404</v>
      </c>
      <c r="B8" s="201"/>
      <c r="C8" s="157"/>
      <c r="F8" s="141"/>
      <c r="G8" s="160"/>
      <c r="H8" s="143"/>
      <c r="I8" s="162"/>
      <c r="J8" s="143"/>
    </row>
    <row r="9">
      <c r="A9" s="204" t="s">
        <v>405</v>
      </c>
      <c r="B9" s="209">
        <v>453.47</v>
      </c>
      <c r="C9" s="157"/>
      <c r="F9" s="141"/>
      <c r="G9" s="160"/>
      <c r="H9" s="143"/>
      <c r="I9" s="162"/>
      <c r="J9" s="143"/>
    </row>
    <row r="10">
      <c r="A10" s="204" t="s">
        <v>406</v>
      </c>
      <c r="B10" s="209">
        <v>120.0</v>
      </c>
      <c r="C10" s="157"/>
      <c r="D10" s="166"/>
      <c r="E10" s="167"/>
      <c r="F10" s="143"/>
      <c r="G10" s="160"/>
      <c r="H10" s="143"/>
      <c r="I10" s="160"/>
      <c r="J10" s="143"/>
    </row>
    <row r="11">
      <c r="A11" s="204" t="s">
        <v>407</v>
      </c>
      <c r="B11" s="209">
        <v>75.0</v>
      </c>
      <c r="C11" s="171"/>
      <c r="D11" s="210"/>
      <c r="E11" s="167"/>
      <c r="F11" s="143"/>
      <c r="G11" s="143"/>
      <c r="H11" s="143"/>
      <c r="I11" s="143"/>
      <c r="J11" s="143"/>
    </row>
    <row r="12">
      <c r="A12" s="204" t="s">
        <v>408</v>
      </c>
      <c r="B12" s="209">
        <v>88.73</v>
      </c>
      <c r="C12" s="171"/>
      <c r="D12" s="211"/>
      <c r="E12" s="143"/>
      <c r="F12" s="143"/>
      <c r="G12" s="143"/>
      <c r="H12" s="143"/>
      <c r="I12" s="143"/>
      <c r="J12" s="143"/>
    </row>
    <row r="13">
      <c r="A13" s="204" t="s">
        <v>409</v>
      </c>
      <c r="B13" s="209">
        <v>140.0</v>
      </c>
      <c r="C13" s="171"/>
      <c r="F13" s="143"/>
      <c r="G13" s="143"/>
      <c r="H13" s="143"/>
      <c r="I13" s="143"/>
      <c r="J13" s="143"/>
    </row>
    <row r="14">
      <c r="A14" s="204" t="s">
        <v>410</v>
      </c>
      <c r="B14" s="209">
        <v>95.0</v>
      </c>
      <c r="C14" s="171"/>
      <c r="F14" s="174"/>
      <c r="G14" s="174"/>
      <c r="H14" s="174"/>
      <c r="I14" s="174"/>
      <c r="J14" s="174"/>
    </row>
    <row r="15">
      <c r="A15" s="204" t="s">
        <v>411</v>
      </c>
      <c r="B15" s="209">
        <v>120.05</v>
      </c>
      <c r="C15" s="171"/>
      <c r="F15" s="174"/>
      <c r="G15" s="174"/>
      <c r="H15" s="174"/>
      <c r="I15" s="174"/>
      <c r="J15" s="174"/>
    </row>
    <row r="16">
      <c r="A16" s="204" t="s">
        <v>412</v>
      </c>
      <c r="B16" s="206"/>
      <c r="C16" s="178"/>
      <c r="F16" s="174"/>
      <c r="G16" s="174"/>
      <c r="H16" s="174"/>
      <c r="I16" s="174"/>
      <c r="J16" s="174"/>
    </row>
    <row r="17">
      <c r="A17" s="204" t="s">
        <v>413</v>
      </c>
      <c r="B17" s="206"/>
      <c r="C17" s="178"/>
      <c r="E17" s="86" t="s">
        <v>414</v>
      </c>
      <c r="I17" s="174"/>
      <c r="J17" s="174"/>
    </row>
    <row r="18">
      <c r="A18" s="204" t="s">
        <v>415</v>
      </c>
      <c r="B18" s="206"/>
      <c r="C18" s="178"/>
      <c r="F18" s="174"/>
      <c r="G18" s="174"/>
      <c r="H18" s="174"/>
      <c r="I18" s="174"/>
      <c r="J18" s="174"/>
    </row>
    <row r="19">
      <c r="A19" s="204" t="s">
        <v>416</v>
      </c>
      <c r="B19" s="206"/>
      <c r="C19" s="178"/>
      <c r="E19" s="212" t="s">
        <v>417</v>
      </c>
      <c r="F19" s="201"/>
      <c r="G19" s="213" t="s">
        <v>418</v>
      </c>
      <c r="H19" s="201"/>
      <c r="I19" s="174"/>
      <c r="J19" s="174"/>
    </row>
    <row r="20">
      <c r="A20" s="204" t="s">
        <v>43</v>
      </c>
      <c r="B20" s="209">
        <v>352.5</v>
      </c>
      <c r="C20" s="178"/>
      <c r="E20" s="214">
        <v>257.0</v>
      </c>
      <c r="F20" s="215" t="s">
        <v>419</v>
      </c>
      <c r="G20" s="215">
        <v>23.49</v>
      </c>
      <c r="H20" s="215" t="s">
        <v>420</v>
      </c>
      <c r="I20" s="174"/>
      <c r="J20" s="174"/>
    </row>
    <row r="21">
      <c r="A21" s="204" t="s">
        <v>421</v>
      </c>
      <c r="B21" s="206"/>
      <c r="C21" s="178"/>
      <c r="D21" s="143"/>
      <c r="E21" s="215">
        <v>98.99</v>
      </c>
      <c r="F21" s="215" t="s">
        <v>422</v>
      </c>
      <c r="G21" s="215">
        <v>60.0</v>
      </c>
      <c r="H21" s="215" t="s">
        <v>423</v>
      </c>
      <c r="I21" s="174"/>
      <c r="J21" s="174"/>
    </row>
    <row r="22">
      <c r="A22" s="204" t="s">
        <v>424</v>
      </c>
      <c r="B22" s="206"/>
      <c r="C22" s="190"/>
      <c r="D22" s="143"/>
      <c r="E22" s="215">
        <v>52.65</v>
      </c>
      <c r="F22" s="215" t="s">
        <v>425</v>
      </c>
      <c r="G22" s="215">
        <v>23.09</v>
      </c>
      <c r="H22" s="215" t="s">
        <v>426</v>
      </c>
      <c r="I22" s="174"/>
      <c r="J22" s="174"/>
    </row>
    <row r="23">
      <c r="A23" s="204" t="s">
        <v>427</v>
      </c>
      <c r="B23" s="152">
        <v>3266.0</v>
      </c>
      <c r="C23" s="191"/>
      <c r="D23" s="143"/>
      <c r="E23" s="215">
        <v>76.91</v>
      </c>
      <c r="F23" s="215" t="s">
        <v>428</v>
      </c>
      <c r="G23" s="215">
        <v>50.0</v>
      </c>
      <c r="H23" s="215" t="s">
        <v>429</v>
      </c>
      <c r="I23" s="174"/>
      <c r="J23" s="174"/>
    </row>
    <row r="24">
      <c r="A24" s="204" t="s">
        <v>430</v>
      </c>
      <c r="B24" s="206"/>
      <c r="C24" s="171"/>
      <c r="D24" s="143"/>
      <c r="E24" s="215">
        <v>23.49</v>
      </c>
      <c r="F24" s="215" t="s">
        <v>422</v>
      </c>
      <c r="G24" s="215">
        <v>15.0</v>
      </c>
      <c r="H24" s="215" t="s">
        <v>431</v>
      </c>
      <c r="I24" s="174"/>
      <c r="J24" s="174"/>
    </row>
    <row r="25">
      <c r="A25" s="204" t="s">
        <v>432</v>
      </c>
      <c r="B25" s="206"/>
      <c r="C25" s="171"/>
      <c r="D25" s="143"/>
      <c r="E25" s="215">
        <v>5.99</v>
      </c>
      <c r="F25" s="215" t="s">
        <v>433</v>
      </c>
      <c r="G25" s="215">
        <v>19.0</v>
      </c>
      <c r="H25" s="215" t="s">
        <v>425</v>
      </c>
      <c r="I25" s="174"/>
      <c r="J25" s="174"/>
    </row>
    <row r="26">
      <c r="A26" s="204" t="s">
        <v>434</v>
      </c>
      <c r="B26" s="216"/>
      <c r="C26" s="195"/>
      <c r="D26" s="158"/>
      <c r="E26" s="217">
        <v>163.56</v>
      </c>
      <c r="F26" s="217" t="s">
        <v>435</v>
      </c>
      <c r="G26" s="217">
        <v>54.47</v>
      </c>
      <c r="H26" s="217" t="s">
        <v>433</v>
      </c>
      <c r="I26" s="158"/>
      <c r="J26" s="158"/>
    </row>
    <row r="27">
      <c r="A27" s="204" t="s">
        <v>436</v>
      </c>
      <c r="B27" s="216"/>
      <c r="C27" s="195"/>
      <c r="D27" s="158"/>
      <c r="E27" s="217">
        <v>58.43</v>
      </c>
      <c r="F27" s="217" t="s">
        <v>437</v>
      </c>
      <c r="G27" s="217">
        <v>49.95</v>
      </c>
      <c r="H27" s="217" t="s">
        <v>438</v>
      </c>
      <c r="I27" s="158"/>
      <c r="J27" s="158"/>
    </row>
    <row r="28">
      <c r="A28" s="204" t="s">
        <v>439</v>
      </c>
      <c r="B28" s="209">
        <v>451.68</v>
      </c>
      <c r="C28" s="195"/>
      <c r="D28" s="158"/>
      <c r="E28" s="214">
        <v>101.9</v>
      </c>
      <c r="F28" s="214" t="s">
        <v>422</v>
      </c>
      <c r="G28" s="214">
        <v>21.07</v>
      </c>
      <c r="H28" s="214" t="s">
        <v>433</v>
      </c>
      <c r="K28" s="86" t="s">
        <v>440</v>
      </c>
    </row>
    <row r="29">
      <c r="A29" s="204" t="s">
        <v>441</v>
      </c>
      <c r="B29" s="209">
        <v>74.0</v>
      </c>
      <c r="C29" s="195"/>
      <c r="D29" s="158"/>
      <c r="E29" s="214">
        <v>54.5</v>
      </c>
      <c r="F29" s="214" t="s">
        <v>422</v>
      </c>
      <c r="G29" s="214">
        <v>3.5</v>
      </c>
      <c r="H29" s="214" t="s">
        <v>426</v>
      </c>
    </row>
    <row r="30">
      <c r="A30" s="204" t="s">
        <v>442</v>
      </c>
      <c r="B30" s="216"/>
      <c r="C30" s="195"/>
      <c r="D30" s="158"/>
      <c r="E30" s="214">
        <v>13.94</v>
      </c>
      <c r="F30" s="214" t="s">
        <v>443</v>
      </c>
      <c r="G30" s="214">
        <v>10.0</v>
      </c>
      <c r="H30" s="214" t="s">
        <v>444</v>
      </c>
    </row>
    <row r="31">
      <c r="A31" s="204" t="s">
        <v>327</v>
      </c>
      <c r="B31" s="216"/>
      <c r="C31" s="199"/>
      <c r="D31" s="158"/>
      <c r="E31" s="214">
        <v>1.28</v>
      </c>
      <c r="F31" s="214" t="s">
        <v>443</v>
      </c>
      <c r="G31" s="214">
        <v>42.16</v>
      </c>
      <c r="H31" s="214" t="s">
        <v>433</v>
      </c>
    </row>
    <row r="32">
      <c r="A32" s="204" t="s">
        <v>445</v>
      </c>
      <c r="B32" s="216"/>
      <c r="C32" s="158"/>
      <c r="D32" s="158"/>
      <c r="E32" s="214">
        <v>29.9</v>
      </c>
      <c r="F32" s="214" t="s">
        <v>446</v>
      </c>
      <c r="G32" s="214">
        <v>4.79</v>
      </c>
      <c r="H32" s="214" t="s">
        <v>433</v>
      </c>
    </row>
    <row r="33">
      <c r="A33" s="204" t="s">
        <v>102</v>
      </c>
      <c r="B33" s="209">
        <v>200.0</v>
      </c>
      <c r="C33" s="158"/>
      <c r="D33" s="158"/>
      <c r="E33" s="214">
        <v>54.9</v>
      </c>
      <c r="F33" s="214" t="s">
        <v>447</v>
      </c>
      <c r="G33" s="214">
        <v>40.0</v>
      </c>
      <c r="H33" s="214" t="s">
        <v>448</v>
      </c>
    </row>
    <row r="34">
      <c r="A34" s="204" t="s">
        <v>449</v>
      </c>
      <c r="B34" s="216"/>
      <c r="C34" s="158"/>
      <c r="D34" s="158"/>
      <c r="E34" s="214">
        <v>36.91</v>
      </c>
      <c r="F34" s="214" t="s">
        <v>443</v>
      </c>
      <c r="G34" s="214">
        <v>14.2</v>
      </c>
      <c r="H34" s="214" t="s">
        <v>433</v>
      </c>
    </row>
    <row r="35">
      <c r="A35" s="204" t="s">
        <v>450</v>
      </c>
      <c r="B35" s="216"/>
      <c r="C35" s="158"/>
      <c r="D35" s="158"/>
      <c r="E35" s="214">
        <v>54.02</v>
      </c>
      <c r="F35" s="214" t="s">
        <v>433</v>
      </c>
      <c r="G35" s="214">
        <v>20.0</v>
      </c>
      <c r="H35" s="214" t="s">
        <v>426</v>
      </c>
    </row>
    <row r="36">
      <c r="A36" s="204" t="s">
        <v>451</v>
      </c>
      <c r="B36" s="216"/>
      <c r="C36" s="158"/>
      <c r="D36" s="158"/>
      <c r="E36" s="214">
        <v>64.95</v>
      </c>
      <c r="F36" s="214" t="s">
        <v>452</v>
      </c>
      <c r="G36" s="214">
        <v>14.0</v>
      </c>
      <c r="H36" s="214" t="s">
        <v>453</v>
      </c>
    </row>
    <row r="37">
      <c r="A37" s="204" t="s">
        <v>454</v>
      </c>
      <c r="B37" s="216"/>
      <c r="C37" s="158"/>
      <c r="D37" s="158"/>
      <c r="E37" s="214">
        <v>19.9</v>
      </c>
      <c r="F37" s="214" t="s">
        <v>455</v>
      </c>
    </row>
    <row r="38">
      <c r="A38" s="204" t="s">
        <v>456</v>
      </c>
      <c r="B38" s="216"/>
      <c r="C38" s="158"/>
      <c r="D38" s="158"/>
      <c r="E38" s="214">
        <v>84.0</v>
      </c>
      <c r="F38" s="214" t="s">
        <v>457</v>
      </c>
    </row>
    <row r="39">
      <c r="A39" s="204" t="s">
        <v>458</v>
      </c>
      <c r="B39" s="216"/>
      <c r="C39" s="158"/>
      <c r="D39" s="158"/>
      <c r="E39" s="214">
        <v>91.0</v>
      </c>
      <c r="F39" s="214" t="s">
        <v>457</v>
      </c>
    </row>
    <row r="40">
      <c r="A40" s="204" t="s">
        <v>459</v>
      </c>
      <c r="B40" s="216"/>
      <c r="C40" s="158"/>
      <c r="D40" s="158"/>
    </row>
    <row r="41">
      <c r="A41" s="204" t="s">
        <v>460</v>
      </c>
      <c r="B41" s="216"/>
      <c r="C41" s="158"/>
      <c r="D41" s="158"/>
    </row>
    <row r="42">
      <c r="A42" s="204" t="s">
        <v>461</v>
      </c>
      <c r="B42" s="216"/>
      <c r="C42" s="158"/>
      <c r="D42" s="158"/>
      <c r="E42" s="86" t="s">
        <v>462</v>
      </c>
      <c r="F42" s="110">
        <f>SUM(E25,E35,E36,G26,G28,G31,G32,G34,G27)</f>
        <v>311.6</v>
      </c>
    </row>
    <row r="43">
      <c r="A43" s="204" t="s">
        <v>463</v>
      </c>
      <c r="B43" s="216"/>
      <c r="C43" s="158"/>
      <c r="D43" s="158"/>
      <c r="E43" s="86" t="s">
        <v>422</v>
      </c>
      <c r="F43" s="110">
        <f>SUM(E21,E24,E28,E29,G20)</f>
        <v>302.37</v>
      </c>
    </row>
    <row r="44">
      <c r="A44" s="204" t="s">
        <v>464</v>
      </c>
      <c r="B44" s="216"/>
      <c r="C44" s="158"/>
      <c r="D44" s="158"/>
      <c r="E44" s="86" t="s">
        <v>443</v>
      </c>
      <c r="F44" s="110">
        <f>SUM(E30,E31,E34)</f>
        <v>52.13</v>
      </c>
    </row>
    <row r="45">
      <c r="A45" s="204" t="s">
        <v>465</v>
      </c>
      <c r="B45" s="216"/>
      <c r="C45" s="158"/>
      <c r="D45" s="158"/>
      <c r="E45" s="86" t="s">
        <v>435</v>
      </c>
      <c r="F45" s="110">
        <f>SUM(E26)</f>
        <v>163.56</v>
      </c>
    </row>
    <row r="46">
      <c r="A46" s="204" t="s">
        <v>466</v>
      </c>
      <c r="B46" s="216"/>
      <c r="C46" s="158"/>
      <c r="D46" s="158"/>
      <c r="E46" s="86" t="s">
        <v>467</v>
      </c>
      <c r="F46" s="110">
        <f>SUM(E38,E39,E27)</f>
        <v>233.43</v>
      </c>
    </row>
    <row r="47">
      <c r="A47" s="204" t="s">
        <v>468</v>
      </c>
      <c r="B47" s="216"/>
      <c r="C47" s="158"/>
      <c r="D47" s="158"/>
      <c r="E47" s="86" t="s">
        <v>469</v>
      </c>
      <c r="F47" s="110">
        <f>SUM(E37)</f>
        <v>19.9</v>
      </c>
    </row>
    <row r="48">
      <c r="A48" s="204" t="s">
        <v>470</v>
      </c>
      <c r="B48" s="209">
        <v>4121.82</v>
      </c>
      <c r="C48" s="158"/>
      <c r="D48" s="158"/>
      <c r="E48" s="86" t="s">
        <v>471</v>
      </c>
      <c r="F48" s="110">
        <f>SUM(E23,E33)</f>
        <v>131.81</v>
      </c>
    </row>
    <row r="49">
      <c r="A49" s="204" t="s">
        <v>472</v>
      </c>
      <c r="B49" s="216"/>
      <c r="C49" s="158"/>
      <c r="D49" s="158"/>
      <c r="E49" s="86" t="s">
        <v>425</v>
      </c>
      <c r="F49" s="110">
        <f>SUM(E22,G25)</f>
        <v>71.65</v>
      </c>
    </row>
    <row r="50">
      <c r="A50" s="204" t="s">
        <v>473</v>
      </c>
      <c r="B50" s="209"/>
      <c r="C50" s="158"/>
      <c r="D50" s="158"/>
      <c r="E50" s="86" t="s">
        <v>474</v>
      </c>
      <c r="F50" s="86">
        <v>29.9</v>
      </c>
    </row>
    <row r="51">
      <c r="A51" s="204" t="s">
        <v>475</v>
      </c>
      <c r="B51" s="216"/>
      <c r="C51" s="158"/>
      <c r="D51" s="158"/>
      <c r="E51" s="86" t="s">
        <v>453</v>
      </c>
      <c r="F51" s="86">
        <v>14.0</v>
      </c>
    </row>
    <row r="52">
      <c r="A52" s="204" t="s">
        <v>476</v>
      </c>
      <c r="B52" s="216"/>
      <c r="C52" s="158"/>
      <c r="D52" s="158"/>
      <c r="E52" s="86" t="s">
        <v>477</v>
      </c>
      <c r="F52" s="110">
        <f>SUM(G30,G24)</f>
        <v>25</v>
      </c>
    </row>
    <row r="53">
      <c r="A53" s="204" t="s">
        <v>478</v>
      </c>
      <c r="B53" s="216"/>
      <c r="C53" s="158"/>
      <c r="D53" s="158"/>
      <c r="E53" s="86" t="s">
        <v>479</v>
      </c>
      <c r="F53" s="110">
        <f>SUM(G33,G21)</f>
        <v>100</v>
      </c>
    </row>
    <row r="54">
      <c r="A54" s="204" t="s">
        <v>480</v>
      </c>
      <c r="B54" s="216"/>
      <c r="C54" s="158"/>
      <c r="D54" s="158"/>
      <c r="E54" s="86" t="s">
        <v>429</v>
      </c>
      <c r="F54" s="86">
        <v>50.0</v>
      </c>
    </row>
    <row r="55">
      <c r="A55" s="204" t="s">
        <v>481</v>
      </c>
      <c r="B55" s="216"/>
      <c r="C55" s="158"/>
      <c r="D55" s="158"/>
      <c r="E55" s="86" t="s">
        <v>482</v>
      </c>
      <c r="F55" s="86">
        <f>SUM(G22,G29,G35)</f>
        <v>46.59</v>
      </c>
    </row>
    <row r="56">
      <c r="A56" s="204" t="s">
        <v>483</v>
      </c>
      <c r="B56" s="216"/>
      <c r="C56" s="158"/>
      <c r="D56" s="158"/>
      <c r="E56" s="86" t="s">
        <v>419</v>
      </c>
      <c r="F56" s="86">
        <v>257.0</v>
      </c>
    </row>
    <row r="57">
      <c r="A57" s="204" t="s">
        <v>460</v>
      </c>
      <c r="B57" s="216"/>
      <c r="C57" s="158"/>
      <c r="D57" s="158"/>
    </row>
    <row r="58">
      <c r="A58" s="204" t="s">
        <v>484</v>
      </c>
      <c r="B58" s="216"/>
      <c r="C58" s="158"/>
      <c r="D58" s="158"/>
    </row>
    <row r="59">
      <c r="A59" s="204" t="s">
        <v>485</v>
      </c>
      <c r="B59" s="216"/>
      <c r="C59" s="158"/>
      <c r="D59" s="158"/>
    </row>
    <row r="60">
      <c r="A60" s="204" t="s">
        <v>486</v>
      </c>
      <c r="B60" s="216"/>
      <c r="C60" s="158"/>
      <c r="D60" s="158"/>
    </row>
    <row r="61">
      <c r="A61" s="204" t="s">
        <v>487</v>
      </c>
      <c r="B61" s="216"/>
      <c r="C61" s="158"/>
      <c r="D61" s="158"/>
    </row>
    <row r="62">
      <c r="A62" s="204" t="s">
        <v>488</v>
      </c>
      <c r="B62" s="216"/>
      <c r="C62" s="158"/>
      <c r="D62" s="158"/>
    </row>
    <row r="63">
      <c r="A63" s="204" t="s">
        <v>489</v>
      </c>
      <c r="B63" s="216"/>
      <c r="C63" s="158"/>
      <c r="D63" s="158"/>
    </row>
    <row r="64">
      <c r="A64" s="204" t="s">
        <v>490</v>
      </c>
      <c r="B64" s="216"/>
      <c r="C64" s="158"/>
      <c r="D64" s="158"/>
    </row>
    <row r="65">
      <c r="A65" s="204" t="s">
        <v>491</v>
      </c>
      <c r="B65" s="216"/>
      <c r="C65" s="158"/>
      <c r="D65" s="158"/>
    </row>
    <row r="66">
      <c r="A66" s="218" t="s">
        <v>492</v>
      </c>
      <c r="B66" s="219">
        <f>SUM(B9:B65)</f>
        <v>9558.25</v>
      </c>
      <c r="C66" s="158"/>
      <c r="D66" s="158"/>
    </row>
    <row r="67">
      <c r="A67" s="220"/>
      <c r="B67" s="221"/>
      <c r="C67" s="158"/>
      <c r="D67" s="158"/>
    </row>
    <row r="68">
      <c r="A68" s="222" t="s">
        <v>493</v>
      </c>
      <c r="B68" s="223">
        <f>B66/B7</f>
        <v>0.5441443955</v>
      </c>
      <c r="C68" s="158"/>
      <c r="D68" s="158"/>
    </row>
    <row r="69">
      <c r="C69" s="158"/>
      <c r="D69" s="158"/>
    </row>
    <row r="70">
      <c r="C70" s="158"/>
      <c r="D70" s="158"/>
    </row>
    <row r="71">
      <c r="C71" s="158"/>
      <c r="D71" s="158"/>
    </row>
    <row r="72">
      <c r="C72" s="158"/>
      <c r="D72" s="158"/>
    </row>
    <row r="73">
      <c r="C73" s="158"/>
      <c r="D73" s="158"/>
    </row>
    <row r="74">
      <c r="C74" s="158"/>
      <c r="D74" s="158"/>
    </row>
    <row r="75">
      <c r="C75" s="158"/>
      <c r="D75" s="158"/>
    </row>
    <row r="76">
      <c r="C76" s="158"/>
      <c r="D76" s="158"/>
    </row>
    <row r="77">
      <c r="C77" s="158"/>
      <c r="D77" s="158"/>
    </row>
    <row r="78">
      <c r="C78" s="158"/>
      <c r="D78" s="158"/>
    </row>
    <row r="79">
      <c r="C79" s="158"/>
      <c r="D79" s="158"/>
    </row>
    <row r="80">
      <c r="C80" s="158"/>
      <c r="D80" s="158"/>
    </row>
    <row r="81">
      <c r="C81" s="158"/>
      <c r="D81" s="158"/>
    </row>
    <row r="82">
      <c r="C82" s="158"/>
      <c r="D82" s="158"/>
    </row>
    <row r="83">
      <c r="C83" s="158"/>
      <c r="D83" s="158"/>
    </row>
    <row r="84">
      <c r="C84" s="158"/>
      <c r="D84" s="158"/>
    </row>
    <row r="85">
      <c r="C85" s="158"/>
      <c r="D85" s="158"/>
    </row>
    <row r="86">
      <c r="C86" s="158"/>
      <c r="D86" s="158"/>
    </row>
    <row r="87">
      <c r="C87" s="158"/>
      <c r="D87" s="158"/>
    </row>
    <row r="88">
      <c r="C88" s="158"/>
      <c r="D88" s="158"/>
    </row>
    <row r="89">
      <c r="C89" s="158"/>
      <c r="D89" s="158"/>
    </row>
    <row r="90">
      <c r="C90" s="158"/>
      <c r="D90" s="158"/>
    </row>
    <row r="91">
      <c r="C91" s="158"/>
      <c r="D91" s="158"/>
    </row>
    <row r="92">
      <c r="C92" s="158"/>
      <c r="D92" s="158"/>
    </row>
    <row r="93">
      <c r="C93" s="158"/>
      <c r="D93" s="158"/>
    </row>
    <row r="94">
      <c r="C94" s="158"/>
      <c r="D94" s="158"/>
    </row>
    <row r="95">
      <c r="C95" s="158"/>
      <c r="D95" s="158"/>
    </row>
    <row r="96">
      <c r="C96" s="158"/>
      <c r="D96" s="158"/>
    </row>
    <row r="97">
      <c r="C97" s="158"/>
      <c r="D97" s="158"/>
    </row>
    <row r="98">
      <c r="C98" s="158"/>
      <c r="D98" s="158"/>
    </row>
    <row r="99">
      <c r="C99" s="158"/>
      <c r="D99" s="158"/>
    </row>
    <row r="100">
      <c r="C100" s="158"/>
      <c r="D100" s="158"/>
    </row>
    <row r="101">
      <c r="C101" s="158"/>
      <c r="D101" s="158"/>
    </row>
    <row r="102">
      <c r="C102" s="158"/>
      <c r="D102" s="158"/>
    </row>
    <row r="103">
      <c r="C103" s="158"/>
      <c r="D103" s="158"/>
    </row>
    <row r="104">
      <c r="C104" s="158"/>
      <c r="D104" s="158"/>
    </row>
    <row r="105">
      <c r="C105" s="158"/>
      <c r="D105" s="158"/>
    </row>
    <row r="106">
      <c r="C106" s="158"/>
      <c r="D106" s="158"/>
    </row>
    <row r="107">
      <c r="C107" s="158"/>
      <c r="D107" s="158"/>
    </row>
    <row r="108">
      <c r="C108" s="158"/>
      <c r="D108" s="158"/>
    </row>
    <row r="109">
      <c r="C109" s="158"/>
      <c r="D109" s="158"/>
    </row>
    <row r="110">
      <c r="C110" s="158"/>
      <c r="D110" s="158"/>
    </row>
    <row r="111">
      <c r="C111" s="158"/>
      <c r="D111" s="158"/>
    </row>
    <row r="112">
      <c r="C112" s="158"/>
      <c r="D112" s="158"/>
    </row>
    <row r="113">
      <c r="C113" s="158"/>
      <c r="D113" s="158"/>
    </row>
    <row r="114">
      <c r="C114" s="158"/>
      <c r="D114" s="158"/>
    </row>
    <row r="115">
      <c r="C115" s="158"/>
      <c r="D115" s="158"/>
    </row>
    <row r="116">
      <c r="C116" s="158"/>
      <c r="D116" s="158"/>
    </row>
    <row r="117">
      <c r="C117" s="158"/>
      <c r="D117" s="158"/>
    </row>
    <row r="118">
      <c r="C118" s="158"/>
      <c r="D118" s="158"/>
    </row>
    <row r="119">
      <c r="C119" s="158"/>
      <c r="D119" s="158"/>
    </row>
    <row r="120">
      <c r="C120" s="158"/>
      <c r="D120" s="158"/>
    </row>
    <row r="121">
      <c r="C121" s="158"/>
      <c r="D121" s="158"/>
    </row>
    <row r="122">
      <c r="C122" s="158"/>
      <c r="D122" s="158"/>
    </row>
    <row r="123">
      <c r="C123" s="158"/>
      <c r="D123" s="158"/>
    </row>
    <row r="124">
      <c r="C124" s="158"/>
      <c r="D124" s="158"/>
    </row>
    <row r="125">
      <c r="C125" s="158"/>
      <c r="D125" s="158"/>
    </row>
    <row r="126">
      <c r="C126" s="158"/>
      <c r="D126" s="158"/>
    </row>
    <row r="127">
      <c r="C127" s="158"/>
      <c r="D127" s="158"/>
    </row>
    <row r="128">
      <c r="C128" s="158"/>
      <c r="D128" s="158"/>
    </row>
    <row r="129">
      <c r="C129" s="158"/>
      <c r="D129" s="158"/>
    </row>
    <row r="130">
      <c r="C130" s="158"/>
      <c r="D130" s="158"/>
    </row>
    <row r="131">
      <c r="C131" s="158"/>
      <c r="D131" s="158"/>
    </row>
    <row r="132">
      <c r="C132" s="158"/>
      <c r="D132" s="158"/>
    </row>
    <row r="133">
      <c r="C133" s="158"/>
      <c r="D133" s="158"/>
    </row>
    <row r="134">
      <c r="C134" s="158"/>
      <c r="D134" s="158"/>
    </row>
    <row r="135">
      <c r="C135" s="158"/>
      <c r="D135" s="158"/>
    </row>
    <row r="136">
      <c r="C136" s="158"/>
      <c r="D136" s="158"/>
    </row>
    <row r="137">
      <c r="C137" s="158"/>
      <c r="D137" s="158"/>
    </row>
    <row r="138">
      <c r="C138" s="158"/>
      <c r="D138" s="158"/>
    </row>
    <row r="139">
      <c r="C139" s="158"/>
      <c r="D139" s="158"/>
    </row>
    <row r="140">
      <c r="C140" s="158"/>
      <c r="D140" s="158"/>
    </row>
    <row r="141">
      <c r="C141" s="158"/>
      <c r="D141" s="158"/>
    </row>
    <row r="142">
      <c r="C142" s="158"/>
      <c r="D142" s="158"/>
    </row>
    <row r="143">
      <c r="C143" s="158"/>
      <c r="D143" s="158"/>
    </row>
    <row r="144">
      <c r="C144" s="158"/>
      <c r="D144" s="158"/>
    </row>
    <row r="145">
      <c r="C145" s="158"/>
      <c r="D145" s="158"/>
    </row>
    <row r="146">
      <c r="C146" s="158"/>
      <c r="D146" s="158"/>
    </row>
    <row r="147">
      <c r="C147" s="158"/>
      <c r="D147" s="158"/>
    </row>
    <row r="148">
      <c r="C148" s="158"/>
      <c r="D148" s="158"/>
    </row>
    <row r="149">
      <c r="C149" s="158"/>
      <c r="D149" s="158"/>
    </row>
    <row r="150">
      <c r="C150" s="158"/>
      <c r="D150" s="158"/>
    </row>
    <row r="151">
      <c r="C151" s="158"/>
      <c r="D151" s="158"/>
    </row>
    <row r="152">
      <c r="C152" s="158"/>
      <c r="D152" s="158"/>
    </row>
    <row r="153">
      <c r="C153" s="158"/>
      <c r="D153" s="158"/>
    </row>
    <row r="154">
      <c r="C154" s="158"/>
      <c r="D154" s="158"/>
    </row>
    <row r="155">
      <c r="C155" s="158"/>
      <c r="D155" s="158"/>
    </row>
    <row r="156">
      <c r="C156" s="158"/>
      <c r="D156" s="158"/>
    </row>
    <row r="157">
      <c r="C157" s="158"/>
      <c r="D157" s="158"/>
    </row>
    <row r="158">
      <c r="C158" s="158"/>
      <c r="D158" s="158"/>
    </row>
    <row r="159">
      <c r="C159" s="158"/>
      <c r="D159" s="158"/>
    </row>
    <row r="160">
      <c r="C160" s="158"/>
      <c r="D160" s="158"/>
    </row>
    <row r="161">
      <c r="C161" s="158"/>
      <c r="D161" s="158"/>
    </row>
    <row r="162">
      <c r="C162" s="158"/>
      <c r="D162" s="158"/>
    </row>
    <row r="163">
      <c r="C163" s="158"/>
      <c r="D163" s="158"/>
    </row>
    <row r="164">
      <c r="C164" s="158"/>
      <c r="D164" s="158"/>
    </row>
    <row r="165">
      <c r="C165" s="158"/>
      <c r="D165" s="158"/>
    </row>
    <row r="166">
      <c r="C166" s="158"/>
      <c r="D166" s="158"/>
    </row>
    <row r="167">
      <c r="C167" s="158"/>
      <c r="D167" s="158"/>
    </row>
    <row r="168">
      <c r="C168" s="158"/>
      <c r="D168" s="158"/>
    </row>
    <row r="169">
      <c r="C169" s="158"/>
      <c r="D169" s="158"/>
    </row>
    <row r="170">
      <c r="C170" s="158"/>
      <c r="D170" s="158"/>
    </row>
    <row r="171">
      <c r="C171" s="158"/>
      <c r="D171" s="158"/>
    </row>
    <row r="172">
      <c r="C172" s="158"/>
      <c r="D172" s="158"/>
    </row>
    <row r="173">
      <c r="C173" s="158"/>
      <c r="D173" s="158"/>
    </row>
    <row r="174">
      <c r="C174" s="158"/>
      <c r="D174" s="158"/>
    </row>
    <row r="175">
      <c r="C175" s="158"/>
      <c r="D175" s="158"/>
    </row>
    <row r="176">
      <c r="C176" s="158"/>
      <c r="D176" s="158"/>
    </row>
    <row r="177">
      <c r="C177" s="158"/>
      <c r="D177" s="158"/>
    </row>
    <row r="178">
      <c r="C178" s="158"/>
      <c r="D178" s="158"/>
    </row>
    <row r="179">
      <c r="C179" s="158"/>
      <c r="D179" s="158"/>
    </row>
    <row r="180">
      <c r="C180" s="158"/>
      <c r="D180" s="158"/>
    </row>
    <row r="181">
      <c r="C181" s="158"/>
      <c r="D181" s="158"/>
    </row>
    <row r="182">
      <c r="C182" s="158"/>
      <c r="D182" s="158"/>
    </row>
    <row r="183">
      <c r="C183" s="158"/>
      <c r="D183" s="158"/>
    </row>
    <row r="184">
      <c r="C184" s="158"/>
      <c r="D184" s="158"/>
    </row>
    <row r="185">
      <c r="C185" s="158"/>
      <c r="D185" s="158"/>
    </row>
    <row r="186">
      <c r="C186" s="158"/>
      <c r="D186" s="158"/>
    </row>
    <row r="187">
      <c r="C187" s="158"/>
      <c r="D187" s="158"/>
    </row>
    <row r="188">
      <c r="C188" s="158"/>
      <c r="D188" s="158"/>
    </row>
    <row r="189">
      <c r="C189" s="158"/>
      <c r="D189" s="158"/>
    </row>
    <row r="190">
      <c r="C190" s="158"/>
      <c r="D190" s="158"/>
    </row>
    <row r="191">
      <c r="C191" s="158"/>
      <c r="D191" s="158"/>
    </row>
    <row r="192">
      <c r="C192" s="158"/>
      <c r="D192" s="158"/>
    </row>
    <row r="193">
      <c r="C193" s="158"/>
      <c r="D193" s="158"/>
    </row>
    <row r="194">
      <c r="C194" s="158"/>
      <c r="D194" s="158"/>
    </row>
    <row r="195">
      <c r="C195" s="158"/>
      <c r="D195" s="158"/>
    </row>
    <row r="196">
      <c r="C196" s="158"/>
      <c r="D196" s="158"/>
    </row>
    <row r="197">
      <c r="C197" s="158"/>
      <c r="D197" s="158"/>
    </row>
    <row r="198">
      <c r="C198" s="158"/>
      <c r="D198" s="158"/>
    </row>
    <row r="199">
      <c r="C199" s="158"/>
      <c r="D199" s="158"/>
    </row>
    <row r="200">
      <c r="C200" s="158"/>
      <c r="D200" s="158"/>
    </row>
    <row r="201">
      <c r="C201" s="158"/>
      <c r="D201" s="158"/>
    </row>
    <row r="202">
      <c r="C202" s="158"/>
      <c r="D202" s="158"/>
    </row>
    <row r="203">
      <c r="C203" s="158"/>
      <c r="D203" s="158"/>
    </row>
    <row r="204">
      <c r="C204" s="158"/>
      <c r="D204" s="158"/>
    </row>
    <row r="205">
      <c r="C205" s="158"/>
      <c r="D205" s="158"/>
    </row>
    <row r="206">
      <c r="C206" s="158"/>
      <c r="D206" s="158"/>
    </row>
    <row r="207">
      <c r="C207" s="158"/>
      <c r="D207" s="158"/>
    </row>
    <row r="208">
      <c r="C208" s="158"/>
      <c r="D208" s="158"/>
    </row>
    <row r="209">
      <c r="C209" s="158"/>
      <c r="D209" s="158"/>
    </row>
    <row r="210">
      <c r="C210" s="158"/>
      <c r="D210" s="158"/>
    </row>
    <row r="211">
      <c r="C211" s="158"/>
      <c r="D211" s="158"/>
    </row>
    <row r="212">
      <c r="C212" s="158"/>
      <c r="D212" s="158"/>
    </row>
    <row r="213">
      <c r="C213" s="158"/>
      <c r="D213" s="158"/>
    </row>
    <row r="214">
      <c r="C214" s="158"/>
      <c r="D214" s="158"/>
    </row>
    <row r="215">
      <c r="C215" s="158"/>
      <c r="D215" s="158"/>
    </row>
    <row r="216">
      <c r="C216" s="158"/>
      <c r="D216" s="158"/>
    </row>
    <row r="217">
      <c r="C217" s="158"/>
      <c r="D217" s="158"/>
    </row>
    <row r="218">
      <c r="C218" s="158"/>
      <c r="D218" s="158"/>
    </row>
    <row r="219">
      <c r="C219" s="158"/>
      <c r="D219" s="158"/>
    </row>
    <row r="220">
      <c r="C220" s="158"/>
      <c r="D220" s="158"/>
    </row>
    <row r="221">
      <c r="C221" s="158"/>
      <c r="D221" s="158"/>
    </row>
    <row r="222">
      <c r="C222" s="158"/>
      <c r="D222" s="158"/>
    </row>
    <row r="223">
      <c r="C223" s="158"/>
      <c r="D223" s="158"/>
    </row>
    <row r="224">
      <c r="C224" s="158"/>
      <c r="D224" s="158"/>
    </row>
    <row r="225">
      <c r="C225" s="158"/>
      <c r="D225" s="158"/>
    </row>
    <row r="226">
      <c r="C226" s="158"/>
      <c r="D226" s="158"/>
    </row>
    <row r="227">
      <c r="C227" s="158"/>
      <c r="D227" s="158"/>
    </row>
    <row r="228">
      <c r="C228" s="158"/>
      <c r="D228" s="158"/>
    </row>
    <row r="229">
      <c r="C229" s="158"/>
      <c r="D229" s="158"/>
    </row>
    <row r="230">
      <c r="C230" s="158"/>
      <c r="D230" s="158"/>
    </row>
    <row r="231">
      <c r="C231" s="158"/>
      <c r="D231" s="158"/>
    </row>
    <row r="232">
      <c r="C232" s="158"/>
      <c r="D232" s="158"/>
    </row>
    <row r="233">
      <c r="C233" s="158"/>
      <c r="D233" s="158"/>
    </row>
    <row r="234">
      <c r="C234" s="158"/>
      <c r="D234" s="158"/>
    </row>
    <row r="235">
      <c r="C235" s="158"/>
      <c r="D235" s="158"/>
    </row>
    <row r="236">
      <c r="C236" s="158"/>
      <c r="D236" s="158"/>
    </row>
    <row r="237">
      <c r="C237" s="158"/>
      <c r="D237" s="158"/>
    </row>
    <row r="238">
      <c r="C238" s="158"/>
      <c r="D238" s="158"/>
    </row>
    <row r="239">
      <c r="C239" s="158"/>
      <c r="D239" s="158"/>
    </row>
    <row r="240">
      <c r="C240" s="158"/>
      <c r="D240" s="158"/>
    </row>
    <row r="241">
      <c r="C241" s="158"/>
      <c r="D241" s="158"/>
    </row>
    <row r="242">
      <c r="C242" s="158"/>
      <c r="D242" s="158"/>
    </row>
    <row r="243">
      <c r="C243" s="158"/>
      <c r="D243" s="158"/>
    </row>
    <row r="244">
      <c r="C244" s="158"/>
      <c r="D244" s="158"/>
    </row>
    <row r="245">
      <c r="C245" s="158"/>
      <c r="D245" s="158"/>
    </row>
    <row r="246">
      <c r="C246" s="158"/>
      <c r="D246" s="158"/>
    </row>
    <row r="247">
      <c r="C247" s="158"/>
      <c r="D247" s="158"/>
    </row>
    <row r="248">
      <c r="C248" s="158"/>
      <c r="D248" s="158"/>
    </row>
    <row r="249">
      <c r="C249" s="158"/>
      <c r="D249" s="158"/>
    </row>
    <row r="250">
      <c r="C250" s="158"/>
      <c r="D250" s="158"/>
    </row>
    <row r="251">
      <c r="C251" s="158"/>
      <c r="D251" s="158"/>
    </row>
    <row r="252">
      <c r="C252" s="158"/>
      <c r="D252" s="158"/>
    </row>
    <row r="253">
      <c r="C253" s="158"/>
      <c r="D253" s="158"/>
    </row>
    <row r="254">
      <c r="C254" s="158"/>
      <c r="D254" s="158"/>
    </row>
    <row r="255">
      <c r="C255" s="158"/>
      <c r="D255" s="158"/>
    </row>
    <row r="256">
      <c r="C256" s="158"/>
      <c r="D256" s="158"/>
    </row>
    <row r="257">
      <c r="C257" s="158"/>
      <c r="D257" s="158"/>
    </row>
    <row r="258">
      <c r="C258" s="158"/>
      <c r="D258" s="158"/>
    </row>
    <row r="259">
      <c r="C259" s="158"/>
      <c r="D259" s="158"/>
    </row>
    <row r="260">
      <c r="C260" s="158"/>
      <c r="D260" s="158"/>
    </row>
    <row r="261">
      <c r="C261" s="158"/>
      <c r="D261" s="158"/>
    </row>
    <row r="262">
      <c r="C262" s="158"/>
      <c r="D262" s="158"/>
    </row>
    <row r="263">
      <c r="C263" s="158"/>
      <c r="D263" s="158"/>
    </row>
    <row r="264">
      <c r="C264" s="158"/>
      <c r="D264" s="158"/>
    </row>
    <row r="265">
      <c r="C265" s="158"/>
      <c r="D265" s="158"/>
    </row>
    <row r="266">
      <c r="C266" s="158"/>
      <c r="D266" s="158"/>
    </row>
    <row r="267">
      <c r="C267" s="158"/>
      <c r="D267" s="158"/>
    </row>
    <row r="268">
      <c r="C268" s="158"/>
      <c r="D268" s="158"/>
    </row>
    <row r="269">
      <c r="C269" s="158"/>
      <c r="D269" s="158"/>
    </row>
    <row r="270">
      <c r="C270" s="158"/>
      <c r="D270" s="158"/>
    </row>
    <row r="271">
      <c r="C271" s="158"/>
      <c r="D271" s="158"/>
    </row>
    <row r="272">
      <c r="C272" s="158"/>
      <c r="D272" s="158"/>
    </row>
    <row r="273">
      <c r="C273" s="158"/>
      <c r="D273" s="158"/>
    </row>
    <row r="274">
      <c r="C274" s="158"/>
      <c r="D274" s="158"/>
    </row>
    <row r="275">
      <c r="C275" s="158"/>
      <c r="D275" s="158"/>
    </row>
    <row r="276">
      <c r="C276" s="158"/>
      <c r="D276" s="158"/>
    </row>
    <row r="277">
      <c r="C277" s="158"/>
      <c r="D277" s="158"/>
    </row>
    <row r="278">
      <c r="C278" s="158"/>
      <c r="D278" s="158"/>
    </row>
    <row r="279">
      <c r="C279" s="158"/>
      <c r="D279" s="158"/>
    </row>
    <row r="280">
      <c r="C280" s="158"/>
      <c r="D280" s="158"/>
    </row>
    <row r="281">
      <c r="C281" s="158"/>
      <c r="D281" s="158"/>
    </row>
    <row r="282">
      <c r="C282" s="158"/>
      <c r="D282" s="158"/>
    </row>
    <row r="283">
      <c r="C283" s="158"/>
      <c r="D283" s="158"/>
    </row>
    <row r="284">
      <c r="C284" s="158"/>
      <c r="D284" s="158"/>
    </row>
    <row r="285">
      <c r="C285" s="158"/>
      <c r="D285" s="158"/>
    </row>
    <row r="286">
      <c r="C286" s="158"/>
      <c r="D286" s="158"/>
    </row>
    <row r="287">
      <c r="C287" s="158"/>
      <c r="D287" s="158"/>
    </row>
    <row r="288">
      <c r="C288" s="158"/>
      <c r="D288" s="158"/>
    </row>
    <row r="289">
      <c r="C289" s="158"/>
      <c r="D289" s="158"/>
    </row>
    <row r="290">
      <c r="C290" s="158"/>
      <c r="D290" s="158"/>
    </row>
    <row r="291">
      <c r="C291" s="158"/>
      <c r="D291" s="158"/>
    </row>
    <row r="292">
      <c r="C292" s="158"/>
      <c r="D292" s="158"/>
    </row>
    <row r="293">
      <c r="C293" s="158"/>
      <c r="D293" s="158"/>
    </row>
    <row r="294">
      <c r="C294" s="158"/>
      <c r="D294" s="158"/>
    </row>
    <row r="295">
      <c r="C295" s="158"/>
      <c r="D295" s="158"/>
    </row>
    <row r="296">
      <c r="C296" s="158"/>
      <c r="D296" s="158"/>
    </row>
    <row r="297">
      <c r="C297" s="158"/>
      <c r="D297" s="158"/>
    </row>
    <row r="298">
      <c r="C298" s="158"/>
      <c r="D298" s="158"/>
    </row>
    <row r="299">
      <c r="C299" s="158"/>
      <c r="D299" s="158"/>
    </row>
    <row r="300">
      <c r="C300" s="158"/>
      <c r="D300" s="158"/>
    </row>
    <row r="301">
      <c r="C301" s="158"/>
      <c r="D301" s="158"/>
    </row>
    <row r="302">
      <c r="C302" s="158"/>
      <c r="D302" s="158"/>
    </row>
    <row r="303">
      <c r="C303" s="158"/>
      <c r="D303" s="158"/>
    </row>
    <row r="304">
      <c r="C304" s="158"/>
      <c r="D304" s="158"/>
    </row>
    <row r="305">
      <c r="C305" s="158"/>
      <c r="D305" s="158"/>
    </row>
    <row r="306">
      <c r="C306" s="158"/>
      <c r="D306" s="158"/>
    </row>
    <row r="307">
      <c r="C307" s="158"/>
      <c r="D307" s="158"/>
    </row>
    <row r="308">
      <c r="C308" s="158"/>
      <c r="D308" s="158"/>
    </row>
    <row r="309">
      <c r="C309" s="158"/>
      <c r="D309" s="158"/>
    </row>
    <row r="310">
      <c r="C310" s="158"/>
      <c r="D310" s="158"/>
    </row>
    <row r="311">
      <c r="C311" s="158"/>
      <c r="D311" s="158"/>
    </row>
    <row r="312">
      <c r="C312" s="158"/>
      <c r="D312" s="158"/>
    </row>
    <row r="313">
      <c r="C313" s="158"/>
      <c r="D313" s="158"/>
    </row>
    <row r="314">
      <c r="C314" s="158"/>
      <c r="D314" s="158"/>
    </row>
    <row r="315">
      <c r="C315" s="158"/>
      <c r="D315" s="158"/>
    </row>
    <row r="316">
      <c r="C316" s="158"/>
      <c r="D316" s="158"/>
    </row>
    <row r="317">
      <c r="C317" s="158"/>
      <c r="D317" s="158"/>
    </row>
    <row r="318">
      <c r="C318" s="158"/>
      <c r="D318" s="158"/>
    </row>
    <row r="319">
      <c r="C319" s="158"/>
      <c r="D319" s="158"/>
    </row>
    <row r="320">
      <c r="C320" s="158"/>
      <c r="D320" s="158"/>
    </row>
    <row r="321">
      <c r="C321" s="158"/>
      <c r="D321" s="158"/>
    </row>
    <row r="322">
      <c r="C322" s="158"/>
      <c r="D322" s="158"/>
    </row>
    <row r="323">
      <c r="C323" s="158"/>
      <c r="D323" s="158"/>
    </row>
    <row r="324">
      <c r="C324" s="158"/>
      <c r="D324" s="158"/>
    </row>
    <row r="325">
      <c r="C325" s="158"/>
      <c r="D325" s="158"/>
    </row>
    <row r="326">
      <c r="C326" s="158"/>
      <c r="D326" s="158"/>
    </row>
    <row r="327">
      <c r="C327" s="158"/>
      <c r="D327" s="158"/>
    </row>
    <row r="328">
      <c r="C328" s="158"/>
      <c r="D328" s="158"/>
    </row>
    <row r="329">
      <c r="C329" s="158"/>
      <c r="D329" s="158"/>
    </row>
    <row r="330">
      <c r="C330" s="158"/>
      <c r="D330" s="158"/>
    </row>
    <row r="331">
      <c r="C331" s="158"/>
      <c r="D331" s="158"/>
    </row>
    <row r="332">
      <c r="C332" s="158"/>
      <c r="D332" s="158"/>
    </row>
    <row r="333">
      <c r="C333" s="158"/>
      <c r="D333" s="158"/>
    </row>
    <row r="334">
      <c r="C334" s="158"/>
      <c r="D334" s="158"/>
    </row>
    <row r="335">
      <c r="C335" s="158"/>
      <c r="D335" s="158"/>
    </row>
    <row r="336">
      <c r="C336" s="158"/>
      <c r="D336" s="158"/>
    </row>
    <row r="337">
      <c r="C337" s="158"/>
      <c r="D337" s="158"/>
    </row>
    <row r="338">
      <c r="C338" s="158"/>
      <c r="D338" s="158"/>
    </row>
    <row r="339">
      <c r="C339" s="158"/>
      <c r="D339" s="158"/>
    </row>
    <row r="340">
      <c r="C340" s="158"/>
      <c r="D340" s="158"/>
    </row>
    <row r="341">
      <c r="C341" s="158"/>
      <c r="D341" s="158"/>
    </row>
    <row r="342">
      <c r="C342" s="158"/>
      <c r="D342" s="158"/>
    </row>
    <row r="343">
      <c r="C343" s="158"/>
      <c r="D343" s="158"/>
    </row>
    <row r="344">
      <c r="C344" s="158"/>
      <c r="D344" s="158"/>
    </row>
    <row r="345">
      <c r="C345" s="158"/>
      <c r="D345" s="158"/>
    </row>
    <row r="346">
      <c r="C346" s="158"/>
      <c r="D346" s="158"/>
    </row>
    <row r="347">
      <c r="C347" s="158"/>
      <c r="D347" s="158"/>
    </row>
    <row r="348">
      <c r="C348" s="158"/>
      <c r="D348" s="158"/>
    </row>
    <row r="349">
      <c r="C349" s="158"/>
      <c r="D349" s="158"/>
    </row>
    <row r="350">
      <c r="C350" s="158"/>
      <c r="D350" s="158"/>
    </row>
    <row r="351">
      <c r="C351" s="158"/>
      <c r="D351" s="158"/>
    </row>
    <row r="352">
      <c r="C352" s="158"/>
      <c r="D352" s="158"/>
    </row>
    <row r="353">
      <c r="C353" s="158"/>
      <c r="D353" s="158"/>
    </row>
    <row r="354">
      <c r="C354" s="158"/>
      <c r="D354" s="158"/>
    </row>
    <row r="355">
      <c r="C355" s="158"/>
      <c r="D355" s="158"/>
    </row>
    <row r="356">
      <c r="C356" s="158"/>
      <c r="D356" s="158"/>
    </row>
    <row r="357">
      <c r="C357" s="158"/>
      <c r="D357" s="158"/>
    </row>
    <row r="358">
      <c r="C358" s="158"/>
      <c r="D358" s="158"/>
    </row>
    <row r="359">
      <c r="C359" s="158"/>
      <c r="D359" s="158"/>
    </row>
    <row r="360">
      <c r="C360" s="158"/>
      <c r="D360" s="158"/>
    </row>
    <row r="361">
      <c r="C361" s="158"/>
      <c r="D361" s="158"/>
    </row>
    <row r="362">
      <c r="C362" s="158"/>
      <c r="D362" s="158"/>
    </row>
    <row r="363">
      <c r="C363" s="158"/>
      <c r="D363" s="158"/>
    </row>
    <row r="364">
      <c r="C364" s="158"/>
      <c r="D364" s="158"/>
    </row>
    <row r="365">
      <c r="C365" s="158"/>
      <c r="D365" s="158"/>
    </row>
    <row r="366">
      <c r="C366" s="158"/>
      <c r="D366" s="158"/>
    </row>
    <row r="367">
      <c r="C367" s="158"/>
      <c r="D367" s="158"/>
    </row>
    <row r="368">
      <c r="C368" s="158"/>
      <c r="D368" s="158"/>
    </row>
    <row r="369">
      <c r="C369" s="158"/>
      <c r="D369" s="158"/>
    </row>
    <row r="370">
      <c r="C370" s="158"/>
      <c r="D370" s="158"/>
    </row>
    <row r="371">
      <c r="C371" s="158"/>
      <c r="D371" s="158"/>
    </row>
    <row r="372">
      <c r="C372" s="158"/>
      <c r="D372" s="158"/>
    </row>
    <row r="373">
      <c r="C373" s="158"/>
      <c r="D373" s="158"/>
    </row>
    <row r="374">
      <c r="C374" s="158"/>
      <c r="D374" s="158"/>
    </row>
    <row r="375">
      <c r="C375" s="158"/>
      <c r="D375" s="158"/>
    </row>
    <row r="376">
      <c r="C376" s="158"/>
      <c r="D376" s="158"/>
    </row>
    <row r="377">
      <c r="C377" s="158"/>
      <c r="D377" s="158"/>
    </row>
    <row r="378">
      <c r="C378" s="158"/>
      <c r="D378" s="158"/>
    </row>
    <row r="379">
      <c r="C379" s="158"/>
      <c r="D379" s="158"/>
    </row>
    <row r="380">
      <c r="C380" s="158"/>
      <c r="D380" s="158"/>
    </row>
    <row r="381">
      <c r="C381" s="158"/>
      <c r="D381" s="158"/>
    </row>
    <row r="382">
      <c r="C382" s="158"/>
      <c r="D382" s="158"/>
    </row>
    <row r="383">
      <c r="C383" s="158"/>
      <c r="D383" s="158"/>
    </row>
    <row r="384">
      <c r="C384" s="158"/>
      <c r="D384" s="158"/>
    </row>
    <row r="385">
      <c r="C385" s="158"/>
      <c r="D385" s="158"/>
    </row>
    <row r="386">
      <c r="C386" s="158"/>
      <c r="D386" s="158"/>
    </row>
    <row r="387">
      <c r="C387" s="158"/>
      <c r="D387" s="158"/>
    </row>
    <row r="388">
      <c r="C388" s="158"/>
      <c r="D388" s="158"/>
    </row>
    <row r="389">
      <c r="C389" s="158"/>
      <c r="D389" s="158"/>
    </row>
    <row r="390">
      <c r="C390" s="158"/>
      <c r="D390" s="158"/>
    </row>
    <row r="391">
      <c r="C391" s="158"/>
      <c r="D391" s="158"/>
    </row>
    <row r="392">
      <c r="C392" s="158"/>
      <c r="D392" s="158"/>
    </row>
    <row r="393">
      <c r="C393" s="158"/>
      <c r="D393" s="158"/>
    </row>
    <row r="394">
      <c r="C394" s="158"/>
      <c r="D394" s="158"/>
    </row>
    <row r="395">
      <c r="C395" s="158"/>
      <c r="D395" s="158"/>
    </row>
    <row r="396">
      <c r="C396" s="158"/>
      <c r="D396" s="158"/>
    </row>
    <row r="397">
      <c r="C397" s="158"/>
      <c r="D397" s="158"/>
    </row>
    <row r="398">
      <c r="C398" s="158"/>
      <c r="D398" s="158"/>
    </row>
    <row r="399">
      <c r="C399" s="158"/>
      <c r="D399" s="158"/>
    </row>
    <row r="400">
      <c r="C400" s="158"/>
      <c r="D400" s="158"/>
    </row>
    <row r="401">
      <c r="C401" s="158"/>
      <c r="D401" s="158"/>
    </row>
    <row r="402">
      <c r="C402" s="158"/>
      <c r="D402" s="158"/>
    </row>
    <row r="403">
      <c r="C403" s="158"/>
      <c r="D403" s="158"/>
    </row>
    <row r="404">
      <c r="C404" s="158"/>
      <c r="D404" s="158"/>
    </row>
    <row r="405">
      <c r="C405" s="158"/>
      <c r="D405" s="158"/>
    </row>
    <row r="406">
      <c r="C406" s="158"/>
      <c r="D406" s="158"/>
    </row>
    <row r="407">
      <c r="C407" s="158"/>
      <c r="D407" s="158"/>
    </row>
    <row r="408">
      <c r="C408" s="158"/>
      <c r="D408" s="158"/>
    </row>
    <row r="409">
      <c r="C409" s="158"/>
      <c r="D409" s="158"/>
    </row>
    <row r="410">
      <c r="C410" s="158"/>
      <c r="D410" s="158"/>
    </row>
    <row r="411">
      <c r="C411" s="158"/>
      <c r="D411" s="158"/>
    </row>
    <row r="412">
      <c r="C412" s="158"/>
      <c r="D412" s="158"/>
    </row>
    <row r="413">
      <c r="C413" s="158"/>
      <c r="D413" s="158"/>
    </row>
    <row r="414">
      <c r="C414" s="158"/>
      <c r="D414" s="158"/>
    </row>
    <row r="415">
      <c r="C415" s="158"/>
      <c r="D415" s="158"/>
    </row>
    <row r="416">
      <c r="C416" s="158"/>
      <c r="D416" s="158"/>
    </row>
    <row r="417">
      <c r="C417" s="158"/>
      <c r="D417" s="158"/>
    </row>
    <row r="418">
      <c r="C418" s="158"/>
      <c r="D418" s="158"/>
    </row>
    <row r="419">
      <c r="C419" s="158"/>
      <c r="D419" s="158"/>
    </row>
    <row r="420">
      <c r="C420" s="158"/>
      <c r="D420" s="158"/>
    </row>
    <row r="421">
      <c r="C421" s="158"/>
      <c r="D421" s="158"/>
    </row>
    <row r="422">
      <c r="C422" s="158"/>
      <c r="D422" s="158"/>
    </row>
    <row r="423">
      <c r="C423" s="158"/>
      <c r="D423" s="158"/>
    </row>
    <row r="424">
      <c r="C424" s="158"/>
      <c r="D424" s="158"/>
    </row>
    <row r="425">
      <c r="C425" s="158"/>
      <c r="D425" s="158"/>
    </row>
    <row r="426">
      <c r="C426" s="158"/>
      <c r="D426" s="158"/>
    </row>
    <row r="427">
      <c r="C427" s="158"/>
      <c r="D427" s="158"/>
    </row>
    <row r="428">
      <c r="C428" s="158"/>
      <c r="D428" s="158"/>
    </row>
    <row r="429">
      <c r="C429" s="158"/>
      <c r="D429" s="158"/>
    </row>
    <row r="430">
      <c r="C430" s="158"/>
      <c r="D430" s="158"/>
    </row>
    <row r="431">
      <c r="C431" s="158"/>
      <c r="D431" s="158"/>
    </row>
    <row r="432">
      <c r="C432" s="158"/>
      <c r="D432" s="158"/>
    </row>
    <row r="433">
      <c r="C433" s="158"/>
      <c r="D433" s="158"/>
    </row>
    <row r="434">
      <c r="C434" s="158"/>
      <c r="D434" s="158"/>
    </row>
    <row r="435">
      <c r="C435" s="158"/>
      <c r="D435" s="158"/>
    </row>
    <row r="436">
      <c r="C436" s="158"/>
      <c r="D436" s="158"/>
    </row>
    <row r="437">
      <c r="C437" s="158"/>
      <c r="D437" s="158"/>
    </row>
    <row r="438">
      <c r="C438" s="158"/>
      <c r="D438" s="158"/>
    </row>
    <row r="439">
      <c r="C439" s="158"/>
      <c r="D439" s="158"/>
    </row>
    <row r="440">
      <c r="C440" s="158"/>
      <c r="D440" s="158"/>
    </row>
    <row r="441">
      <c r="C441" s="158"/>
      <c r="D441" s="158"/>
    </row>
    <row r="442">
      <c r="C442" s="158"/>
      <c r="D442" s="158"/>
    </row>
    <row r="443">
      <c r="C443" s="158"/>
      <c r="D443" s="158"/>
    </row>
    <row r="444">
      <c r="C444" s="158"/>
      <c r="D444" s="158"/>
    </row>
    <row r="445">
      <c r="C445" s="158"/>
      <c r="D445" s="158"/>
    </row>
    <row r="446">
      <c r="C446" s="158"/>
      <c r="D446" s="158"/>
    </row>
    <row r="447">
      <c r="C447" s="158"/>
      <c r="D447" s="158"/>
    </row>
    <row r="448">
      <c r="C448" s="158"/>
      <c r="D448" s="158"/>
    </row>
    <row r="449">
      <c r="C449" s="158"/>
      <c r="D449" s="158"/>
    </row>
    <row r="450">
      <c r="C450" s="158"/>
      <c r="D450" s="158"/>
    </row>
    <row r="451">
      <c r="C451" s="158"/>
      <c r="D451" s="158"/>
    </row>
    <row r="452">
      <c r="C452" s="158"/>
      <c r="D452" s="158"/>
    </row>
    <row r="453">
      <c r="C453" s="158"/>
      <c r="D453" s="158"/>
    </row>
    <row r="454">
      <c r="C454" s="158"/>
      <c r="D454" s="158"/>
    </row>
    <row r="455">
      <c r="C455" s="158"/>
      <c r="D455" s="158"/>
    </row>
    <row r="456">
      <c r="C456" s="158"/>
      <c r="D456" s="158"/>
    </row>
    <row r="457">
      <c r="C457" s="158"/>
      <c r="D457" s="158"/>
    </row>
    <row r="458">
      <c r="C458" s="158"/>
      <c r="D458" s="158"/>
    </row>
    <row r="459">
      <c r="C459" s="158"/>
      <c r="D459" s="158"/>
    </row>
    <row r="460">
      <c r="C460" s="158"/>
      <c r="D460" s="158"/>
    </row>
    <row r="461">
      <c r="C461" s="158"/>
      <c r="D461" s="158"/>
    </row>
    <row r="462">
      <c r="C462" s="158"/>
      <c r="D462" s="158"/>
    </row>
    <row r="463">
      <c r="C463" s="158"/>
      <c r="D463" s="158"/>
    </row>
    <row r="464">
      <c r="C464" s="158"/>
      <c r="D464" s="158"/>
    </row>
    <row r="465">
      <c r="C465" s="158"/>
      <c r="D465" s="158"/>
    </row>
    <row r="466">
      <c r="C466" s="158"/>
      <c r="D466" s="158"/>
    </row>
    <row r="467">
      <c r="C467" s="158"/>
      <c r="D467" s="158"/>
    </row>
    <row r="468">
      <c r="C468" s="158"/>
      <c r="D468" s="158"/>
    </row>
    <row r="469">
      <c r="C469" s="158"/>
      <c r="D469" s="158"/>
    </row>
    <row r="470">
      <c r="C470" s="158"/>
      <c r="D470" s="158"/>
    </row>
    <row r="471">
      <c r="C471" s="158"/>
      <c r="D471" s="158"/>
    </row>
    <row r="472">
      <c r="C472" s="158"/>
      <c r="D472" s="158"/>
    </row>
    <row r="473">
      <c r="C473" s="158"/>
      <c r="D473" s="158"/>
    </row>
    <row r="474">
      <c r="C474" s="158"/>
      <c r="D474" s="158"/>
    </row>
    <row r="475">
      <c r="C475" s="158"/>
      <c r="D475" s="158"/>
    </row>
    <row r="476">
      <c r="C476" s="158"/>
      <c r="D476" s="158"/>
    </row>
    <row r="477">
      <c r="C477" s="158"/>
      <c r="D477" s="158"/>
    </row>
    <row r="478">
      <c r="C478" s="158"/>
      <c r="D478" s="158"/>
    </row>
    <row r="479">
      <c r="C479" s="158"/>
      <c r="D479" s="158"/>
    </row>
    <row r="480">
      <c r="C480" s="158"/>
      <c r="D480" s="158"/>
    </row>
    <row r="481">
      <c r="C481" s="158"/>
      <c r="D481" s="158"/>
    </row>
    <row r="482">
      <c r="C482" s="158"/>
      <c r="D482" s="158"/>
    </row>
    <row r="483">
      <c r="C483" s="158"/>
      <c r="D483" s="158"/>
    </row>
    <row r="484">
      <c r="C484" s="158"/>
      <c r="D484" s="158"/>
    </row>
    <row r="485">
      <c r="C485" s="158"/>
      <c r="D485" s="158"/>
    </row>
    <row r="486">
      <c r="C486" s="158"/>
      <c r="D486" s="158"/>
    </row>
    <row r="487">
      <c r="C487" s="158"/>
      <c r="D487" s="158"/>
    </row>
    <row r="488">
      <c r="C488" s="158"/>
      <c r="D488" s="158"/>
    </row>
    <row r="489">
      <c r="C489" s="158"/>
      <c r="D489" s="158"/>
    </row>
    <row r="490">
      <c r="C490" s="158"/>
      <c r="D490" s="158"/>
    </row>
    <row r="491">
      <c r="C491" s="158"/>
      <c r="D491" s="158"/>
    </row>
    <row r="492">
      <c r="C492" s="158"/>
      <c r="D492" s="158"/>
    </row>
    <row r="493">
      <c r="C493" s="158"/>
      <c r="D493" s="158"/>
    </row>
    <row r="494">
      <c r="C494" s="158"/>
      <c r="D494" s="158"/>
    </row>
    <row r="495">
      <c r="C495" s="158"/>
      <c r="D495" s="158"/>
    </row>
    <row r="496">
      <c r="C496" s="158"/>
      <c r="D496" s="158"/>
    </row>
    <row r="497">
      <c r="C497" s="158"/>
      <c r="D497" s="158"/>
    </row>
    <row r="498">
      <c r="C498" s="158"/>
      <c r="D498" s="158"/>
    </row>
    <row r="499">
      <c r="C499" s="158"/>
      <c r="D499" s="158"/>
    </row>
    <row r="500">
      <c r="C500" s="158"/>
      <c r="D500" s="158"/>
    </row>
    <row r="501">
      <c r="C501" s="158"/>
      <c r="D501" s="158"/>
    </row>
    <row r="502">
      <c r="C502" s="158"/>
      <c r="D502" s="158"/>
    </row>
    <row r="503">
      <c r="C503" s="158"/>
      <c r="D503" s="158"/>
    </row>
    <row r="504">
      <c r="C504" s="158"/>
      <c r="D504" s="158"/>
    </row>
    <row r="505">
      <c r="C505" s="158"/>
      <c r="D505" s="158"/>
    </row>
    <row r="506">
      <c r="C506" s="158"/>
      <c r="D506" s="158"/>
    </row>
    <row r="507">
      <c r="C507" s="158"/>
      <c r="D507" s="158"/>
    </row>
    <row r="508">
      <c r="C508" s="158"/>
      <c r="D508" s="158"/>
    </row>
    <row r="509">
      <c r="C509" s="158"/>
      <c r="D509" s="158"/>
    </row>
    <row r="510">
      <c r="C510" s="158"/>
      <c r="D510" s="158"/>
    </row>
    <row r="511">
      <c r="C511" s="158"/>
      <c r="D511" s="158"/>
    </row>
    <row r="512">
      <c r="C512" s="158"/>
      <c r="D512" s="158"/>
    </row>
    <row r="513">
      <c r="C513" s="158"/>
      <c r="D513" s="158"/>
    </row>
    <row r="514">
      <c r="C514" s="158"/>
      <c r="D514" s="158"/>
    </row>
    <row r="515">
      <c r="C515" s="158"/>
      <c r="D515" s="158"/>
    </row>
    <row r="516">
      <c r="C516" s="158"/>
      <c r="D516" s="158"/>
    </row>
    <row r="517">
      <c r="C517" s="158"/>
      <c r="D517" s="158"/>
    </row>
    <row r="518">
      <c r="C518" s="158"/>
      <c r="D518" s="158"/>
    </row>
    <row r="519">
      <c r="C519" s="158"/>
      <c r="D519" s="158"/>
    </row>
    <row r="520">
      <c r="C520" s="158"/>
      <c r="D520" s="158"/>
    </row>
    <row r="521">
      <c r="C521" s="158"/>
      <c r="D521" s="158"/>
    </row>
    <row r="522">
      <c r="C522" s="158"/>
      <c r="D522" s="158"/>
    </row>
    <row r="523">
      <c r="C523" s="158"/>
      <c r="D523" s="158"/>
    </row>
    <row r="524">
      <c r="C524" s="158"/>
      <c r="D524" s="158"/>
    </row>
    <row r="525">
      <c r="C525" s="158"/>
      <c r="D525" s="158"/>
    </row>
    <row r="526">
      <c r="C526" s="158"/>
      <c r="D526" s="158"/>
    </row>
    <row r="527">
      <c r="C527" s="158"/>
      <c r="D527" s="158"/>
    </row>
    <row r="528">
      <c r="C528" s="158"/>
      <c r="D528" s="158"/>
    </row>
    <row r="529">
      <c r="C529" s="158"/>
      <c r="D529" s="158"/>
    </row>
    <row r="530">
      <c r="C530" s="158"/>
      <c r="D530" s="158"/>
    </row>
    <row r="531">
      <c r="C531" s="158"/>
      <c r="D531" s="158"/>
    </row>
    <row r="532">
      <c r="C532" s="158"/>
      <c r="D532" s="158"/>
    </row>
    <row r="533">
      <c r="C533" s="158"/>
      <c r="D533" s="158"/>
    </row>
    <row r="534">
      <c r="C534" s="158"/>
      <c r="D534" s="158"/>
    </row>
    <row r="535">
      <c r="C535" s="158"/>
      <c r="D535" s="158"/>
    </row>
    <row r="536">
      <c r="C536" s="158"/>
      <c r="D536" s="158"/>
    </row>
    <row r="537">
      <c r="C537" s="158"/>
      <c r="D537" s="158"/>
    </row>
    <row r="538">
      <c r="C538" s="158"/>
      <c r="D538" s="158"/>
    </row>
    <row r="539">
      <c r="C539" s="158"/>
      <c r="D539" s="158"/>
    </row>
    <row r="540">
      <c r="C540" s="158"/>
      <c r="D540" s="158"/>
    </row>
    <row r="541">
      <c r="C541" s="158"/>
      <c r="D541" s="158"/>
    </row>
    <row r="542">
      <c r="C542" s="158"/>
      <c r="D542" s="158"/>
    </row>
    <row r="543">
      <c r="C543" s="158"/>
      <c r="D543" s="158"/>
    </row>
    <row r="544">
      <c r="C544" s="158"/>
      <c r="D544" s="158"/>
    </row>
    <row r="545">
      <c r="C545" s="158"/>
      <c r="D545" s="158"/>
    </row>
    <row r="546">
      <c r="C546" s="158"/>
      <c r="D546" s="158"/>
    </row>
    <row r="547">
      <c r="C547" s="158"/>
      <c r="D547" s="158"/>
    </row>
    <row r="548">
      <c r="C548" s="158"/>
      <c r="D548" s="158"/>
    </row>
    <row r="549">
      <c r="C549" s="158"/>
      <c r="D549" s="158"/>
    </row>
    <row r="550">
      <c r="C550" s="158"/>
      <c r="D550" s="158"/>
    </row>
    <row r="551">
      <c r="C551" s="158"/>
      <c r="D551" s="158"/>
    </row>
    <row r="552">
      <c r="C552" s="158"/>
      <c r="D552" s="158"/>
    </row>
    <row r="553">
      <c r="C553" s="158"/>
      <c r="D553" s="158"/>
    </row>
    <row r="554">
      <c r="C554" s="158"/>
      <c r="D554" s="158"/>
    </row>
    <row r="555">
      <c r="C555" s="158"/>
      <c r="D555" s="158"/>
    </row>
    <row r="556">
      <c r="C556" s="158"/>
      <c r="D556" s="158"/>
    </row>
    <row r="557">
      <c r="C557" s="158"/>
      <c r="D557" s="158"/>
    </row>
    <row r="558">
      <c r="C558" s="158"/>
      <c r="D558" s="158"/>
    </row>
    <row r="559">
      <c r="C559" s="158"/>
      <c r="D559" s="158"/>
    </row>
    <row r="560">
      <c r="C560" s="158"/>
      <c r="D560" s="158"/>
    </row>
    <row r="561">
      <c r="C561" s="158"/>
      <c r="D561" s="158"/>
    </row>
    <row r="562">
      <c r="C562" s="158"/>
      <c r="D562" s="158"/>
    </row>
    <row r="563">
      <c r="C563" s="158"/>
      <c r="D563" s="158"/>
    </row>
    <row r="564">
      <c r="C564" s="158"/>
      <c r="D564" s="158"/>
    </row>
    <row r="565">
      <c r="C565" s="158"/>
      <c r="D565" s="158"/>
    </row>
    <row r="566">
      <c r="C566" s="158"/>
      <c r="D566" s="158"/>
    </row>
    <row r="567">
      <c r="C567" s="158"/>
      <c r="D567" s="158"/>
    </row>
    <row r="568">
      <c r="C568" s="158"/>
      <c r="D568" s="158"/>
    </row>
    <row r="569">
      <c r="C569" s="158"/>
      <c r="D569" s="158"/>
    </row>
    <row r="570">
      <c r="C570" s="158"/>
      <c r="D570" s="158"/>
    </row>
    <row r="571">
      <c r="C571" s="158"/>
      <c r="D571" s="158"/>
    </row>
    <row r="572">
      <c r="C572" s="158"/>
      <c r="D572" s="158"/>
    </row>
    <row r="573">
      <c r="C573" s="158"/>
      <c r="D573" s="158"/>
    </row>
    <row r="574">
      <c r="C574" s="158"/>
      <c r="D574" s="158"/>
    </row>
    <row r="575">
      <c r="C575" s="158"/>
      <c r="D575" s="158"/>
    </row>
    <row r="576">
      <c r="C576" s="158"/>
      <c r="D576" s="158"/>
    </row>
    <row r="577">
      <c r="C577" s="158"/>
      <c r="D577" s="158"/>
    </row>
    <row r="578">
      <c r="C578" s="158"/>
      <c r="D578" s="158"/>
    </row>
    <row r="579">
      <c r="C579" s="158"/>
      <c r="D579" s="158"/>
    </row>
    <row r="580">
      <c r="C580" s="158"/>
      <c r="D580" s="158"/>
    </row>
    <row r="581">
      <c r="C581" s="158"/>
      <c r="D581" s="158"/>
    </row>
    <row r="582">
      <c r="C582" s="158"/>
      <c r="D582" s="158"/>
    </row>
    <row r="583">
      <c r="C583" s="158"/>
      <c r="D583" s="158"/>
    </row>
    <row r="584">
      <c r="C584" s="158"/>
      <c r="D584" s="158"/>
    </row>
    <row r="585">
      <c r="C585" s="158"/>
      <c r="D585" s="158"/>
    </row>
    <row r="586">
      <c r="C586" s="158"/>
      <c r="D586" s="158"/>
    </row>
    <row r="587">
      <c r="C587" s="158"/>
      <c r="D587" s="158"/>
    </row>
    <row r="588">
      <c r="C588" s="158"/>
      <c r="D588" s="158"/>
    </row>
    <row r="589">
      <c r="C589" s="158"/>
      <c r="D589" s="158"/>
    </row>
    <row r="590">
      <c r="C590" s="158"/>
      <c r="D590" s="158"/>
    </row>
    <row r="591">
      <c r="C591" s="158"/>
      <c r="D591" s="158"/>
    </row>
    <row r="592">
      <c r="C592" s="158"/>
      <c r="D592" s="158"/>
    </row>
    <row r="593">
      <c r="C593" s="158"/>
      <c r="D593" s="158"/>
    </row>
    <row r="594">
      <c r="C594" s="158"/>
      <c r="D594" s="158"/>
    </row>
    <row r="595">
      <c r="C595" s="158"/>
      <c r="D595" s="158"/>
    </row>
    <row r="596">
      <c r="C596" s="158"/>
      <c r="D596" s="158"/>
    </row>
    <row r="597">
      <c r="C597" s="158"/>
      <c r="D597" s="158"/>
    </row>
    <row r="598">
      <c r="C598" s="158"/>
      <c r="D598" s="158"/>
    </row>
    <row r="599">
      <c r="C599" s="158"/>
      <c r="D599" s="158"/>
    </row>
    <row r="600">
      <c r="C600" s="158"/>
      <c r="D600" s="158"/>
    </row>
    <row r="601">
      <c r="C601" s="158"/>
      <c r="D601" s="158"/>
    </row>
    <row r="602">
      <c r="C602" s="158"/>
      <c r="D602" s="158"/>
    </row>
    <row r="603">
      <c r="C603" s="158"/>
      <c r="D603" s="158"/>
    </row>
    <row r="604">
      <c r="C604" s="158"/>
      <c r="D604" s="158"/>
    </row>
    <row r="605">
      <c r="C605" s="158"/>
      <c r="D605" s="158"/>
    </row>
    <row r="606">
      <c r="C606" s="158"/>
      <c r="D606" s="158"/>
    </row>
    <row r="607">
      <c r="C607" s="158"/>
      <c r="D607" s="158"/>
    </row>
    <row r="608">
      <c r="C608" s="158"/>
      <c r="D608" s="158"/>
    </row>
    <row r="609">
      <c r="C609" s="158"/>
      <c r="D609" s="158"/>
    </row>
    <row r="610">
      <c r="C610" s="158"/>
      <c r="D610" s="158"/>
    </row>
    <row r="611">
      <c r="C611" s="158"/>
      <c r="D611" s="158"/>
    </row>
    <row r="612">
      <c r="C612" s="158"/>
      <c r="D612" s="158"/>
    </row>
    <row r="613">
      <c r="C613" s="158"/>
      <c r="D613" s="158"/>
    </row>
    <row r="614">
      <c r="C614" s="158"/>
      <c r="D614" s="158"/>
    </row>
    <row r="615">
      <c r="C615" s="158"/>
      <c r="D615" s="158"/>
    </row>
    <row r="616">
      <c r="C616" s="158"/>
      <c r="D616" s="158"/>
    </row>
    <row r="617">
      <c r="C617" s="158"/>
      <c r="D617" s="158"/>
    </row>
    <row r="618">
      <c r="C618" s="158"/>
      <c r="D618" s="158"/>
    </row>
    <row r="619">
      <c r="C619" s="158"/>
      <c r="D619" s="158"/>
    </row>
    <row r="620">
      <c r="C620" s="158"/>
      <c r="D620" s="158"/>
    </row>
    <row r="621">
      <c r="C621" s="158"/>
      <c r="D621" s="158"/>
    </row>
    <row r="622">
      <c r="C622" s="158"/>
      <c r="D622" s="158"/>
    </row>
    <row r="623">
      <c r="C623" s="158"/>
      <c r="D623" s="158"/>
    </row>
    <row r="624">
      <c r="C624" s="158"/>
      <c r="D624" s="158"/>
    </row>
    <row r="625">
      <c r="C625" s="158"/>
      <c r="D625" s="158"/>
    </row>
    <row r="626">
      <c r="C626" s="158"/>
      <c r="D626" s="158"/>
    </row>
    <row r="627">
      <c r="C627" s="158"/>
      <c r="D627" s="158"/>
    </row>
    <row r="628">
      <c r="C628" s="158"/>
      <c r="D628" s="158"/>
    </row>
    <row r="629">
      <c r="C629" s="158"/>
      <c r="D629" s="158"/>
    </row>
    <row r="630">
      <c r="C630" s="158"/>
      <c r="D630" s="158"/>
    </row>
    <row r="631">
      <c r="C631" s="158"/>
      <c r="D631" s="158"/>
    </row>
    <row r="632">
      <c r="C632" s="158"/>
      <c r="D632" s="158"/>
    </row>
    <row r="633">
      <c r="C633" s="158"/>
      <c r="D633" s="158"/>
    </row>
    <row r="634">
      <c r="C634" s="158"/>
      <c r="D634" s="158"/>
    </row>
    <row r="635">
      <c r="C635" s="158"/>
      <c r="D635" s="158"/>
    </row>
    <row r="636">
      <c r="C636" s="158"/>
      <c r="D636" s="158"/>
    </row>
    <row r="637">
      <c r="C637" s="158"/>
      <c r="D637" s="158"/>
    </row>
    <row r="638">
      <c r="C638" s="158"/>
      <c r="D638" s="158"/>
    </row>
    <row r="639">
      <c r="C639" s="158"/>
      <c r="D639" s="158"/>
    </row>
    <row r="640">
      <c r="C640" s="158"/>
      <c r="D640" s="158"/>
    </row>
    <row r="641">
      <c r="C641" s="158"/>
      <c r="D641" s="158"/>
    </row>
    <row r="642">
      <c r="C642" s="158"/>
      <c r="D642" s="158"/>
    </row>
    <row r="643">
      <c r="C643" s="158"/>
      <c r="D643" s="158"/>
    </row>
    <row r="644">
      <c r="C644" s="158"/>
      <c r="D644" s="158"/>
    </row>
    <row r="645">
      <c r="C645" s="158"/>
      <c r="D645" s="158"/>
    </row>
    <row r="646">
      <c r="C646" s="158"/>
      <c r="D646" s="158"/>
    </row>
    <row r="647">
      <c r="C647" s="158"/>
      <c r="D647" s="158"/>
    </row>
    <row r="648">
      <c r="C648" s="158"/>
      <c r="D648" s="158"/>
    </row>
    <row r="649">
      <c r="C649" s="158"/>
      <c r="D649" s="158"/>
    </row>
    <row r="650">
      <c r="C650" s="158"/>
      <c r="D650" s="158"/>
    </row>
    <row r="651">
      <c r="C651" s="158"/>
      <c r="D651" s="158"/>
    </row>
    <row r="652">
      <c r="C652" s="158"/>
      <c r="D652" s="158"/>
    </row>
    <row r="653">
      <c r="C653" s="158"/>
      <c r="D653" s="158"/>
    </row>
    <row r="654">
      <c r="C654" s="158"/>
      <c r="D654" s="158"/>
    </row>
    <row r="655">
      <c r="C655" s="158"/>
      <c r="D655" s="158"/>
    </row>
    <row r="656">
      <c r="C656" s="158"/>
      <c r="D656" s="158"/>
    </row>
    <row r="657">
      <c r="C657" s="158"/>
      <c r="D657" s="158"/>
    </row>
    <row r="658">
      <c r="C658" s="158"/>
      <c r="D658" s="158"/>
    </row>
    <row r="659">
      <c r="C659" s="158"/>
      <c r="D659" s="158"/>
    </row>
    <row r="660">
      <c r="C660" s="158"/>
      <c r="D660" s="158"/>
    </row>
    <row r="661">
      <c r="C661" s="158"/>
      <c r="D661" s="158"/>
    </row>
    <row r="662">
      <c r="C662" s="158"/>
      <c r="D662" s="158"/>
    </row>
    <row r="663">
      <c r="C663" s="158"/>
      <c r="D663" s="158"/>
    </row>
    <row r="664">
      <c r="C664" s="158"/>
      <c r="D664" s="158"/>
    </row>
    <row r="665">
      <c r="C665" s="158"/>
      <c r="D665" s="158"/>
    </row>
    <row r="666">
      <c r="C666" s="158"/>
      <c r="D666" s="158"/>
    </row>
    <row r="667">
      <c r="C667" s="158"/>
      <c r="D667" s="158"/>
    </row>
    <row r="668">
      <c r="C668" s="158"/>
      <c r="D668" s="158"/>
    </row>
    <row r="669">
      <c r="C669" s="158"/>
      <c r="D669" s="158"/>
    </row>
    <row r="670">
      <c r="C670" s="158"/>
      <c r="D670" s="158"/>
    </row>
    <row r="671">
      <c r="C671" s="158"/>
      <c r="D671" s="158"/>
    </row>
    <row r="672">
      <c r="C672" s="158"/>
      <c r="D672" s="158"/>
    </row>
    <row r="673">
      <c r="C673" s="158"/>
      <c r="D673" s="158"/>
    </row>
    <row r="674">
      <c r="C674" s="158"/>
      <c r="D674" s="158"/>
    </row>
    <row r="675">
      <c r="C675" s="158"/>
      <c r="D675" s="158"/>
    </row>
    <row r="676">
      <c r="C676" s="158"/>
      <c r="D676" s="158"/>
    </row>
    <row r="677">
      <c r="C677" s="158"/>
      <c r="D677" s="158"/>
    </row>
    <row r="678">
      <c r="C678" s="158"/>
      <c r="D678" s="158"/>
    </row>
    <row r="679">
      <c r="C679" s="158"/>
      <c r="D679" s="158"/>
    </row>
    <row r="680">
      <c r="C680" s="158"/>
      <c r="D680" s="158"/>
    </row>
    <row r="681">
      <c r="C681" s="158"/>
      <c r="D681" s="158"/>
    </row>
    <row r="682">
      <c r="C682" s="158"/>
      <c r="D682" s="158"/>
    </row>
    <row r="683">
      <c r="C683" s="158"/>
      <c r="D683" s="158"/>
    </row>
    <row r="684">
      <c r="C684" s="158"/>
      <c r="D684" s="158"/>
    </row>
    <row r="685">
      <c r="C685" s="158"/>
      <c r="D685" s="158"/>
    </row>
    <row r="686">
      <c r="C686" s="158"/>
      <c r="D686" s="158"/>
    </row>
    <row r="687">
      <c r="C687" s="158"/>
      <c r="D687" s="158"/>
    </row>
    <row r="688">
      <c r="C688" s="158"/>
      <c r="D688" s="158"/>
    </row>
    <row r="689">
      <c r="C689" s="158"/>
      <c r="D689" s="158"/>
    </row>
    <row r="690">
      <c r="C690" s="158"/>
      <c r="D690" s="158"/>
    </row>
    <row r="691">
      <c r="C691" s="158"/>
      <c r="D691" s="158"/>
    </row>
    <row r="692">
      <c r="C692" s="158"/>
      <c r="D692" s="158"/>
    </row>
    <row r="693">
      <c r="C693" s="158"/>
      <c r="D693" s="158"/>
    </row>
    <row r="694">
      <c r="C694" s="158"/>
      <c r="D694" s="158"/>
    </row>
    <row r="695">
      <c r="C695" s="158"/>
      <c r="D695" s="158"/>
    </row>
    <row r="696">
      <c r="C696" s="158"/>
      <c r="D696" s="158"/>
    </row>
    <row r="697">
      <c r="C697" s="158"/>
      <c r="D697" s="158"/>
    </row>
    <row r="698">
      <c r="C698" s="158"/>
      <c r="D698" s="158"/>
    </row>
    <row r="699">
      <c r="C699" s="158"/>
      <c r="D699" s="158"/>
    </row>
    <row r="700">
      <c r="C700" s="158"/>
      <c r="D700" s="158"/>
    </row>
    <row r="701">
      <c r="C701" s="158"/>
      <c r="D701" s="158"/>
    </row>
    <row r="702">
      <c r="C702" s="158"/>
      <c r="D702" s="158"/>
    </row>
    <row r="703">
      <c r="C703" s="158"/>
      <c r="D703" s="158"/>
    </row>
    <row r="704">
      <c r="C704" s="158"/>
      <c r="D704" s="158"/>
    </row>
    <row r="705">
      <c r="C705" s="158"/>
      <c r="D705" s="158"/>
    </row>
    <row r="706">
      <c r="C706" s="158"/>
      <c r="D706" s="158"/>
    </row>
    <row r="707">
      <c r="C707" s="158"/>
      <c r="D707" s="158"/>
    </row>
    <row r="708">
      <c r="C708" s="158"/>
      <c r="D708" s="158"/>
    </row>
    <row r="709">
      <c r="C709" s="158"/>
      <c r="D709" s="158"/>
    </row>
    <row r="710">
      <c r="C710" s="158"/>
      <c r="D710" s="158"/>
    </row>
    <row r="711">
      <c r="C711" s="158"/>
      <c r="D711" s="158"/>
    </row>
    <row r="712">
      <c r="C712" s="158"/>
      <c r="D712" s="158"/>
    </row>
    <row r="713">
      <c r="C713" s="158"/>
      <c r="D713" s="158"/>
    </row>
    <row r="714">
      <c r="C714" s="158"/>
      <c r="D714" s="158"/>
    </row>
    <row r="715">
      <c r="C715" s="158"/>
      <c r="D715" s="158"/>
    </row>
    <row r="716">
      <c r="C716" s="158"/>
      <c r="D716" s="158"/>
    </row>
    <row r="717">
      <c r="C717" s="158"/>
      <c r="D717" s="158"/>
    </row>
    <row r="718">
      <c r="C718" s="158"/>
      <c r="D718" s="158"/>
    </row>
    <row r="719">
      <c r="C719" s="158"/>
      <c r="D719" s="158"/>
    </row>
    <row r="720">
      <c r="C720" s="158"/>
      <c r="D720" s="158"/>
    </row>
    <row r="721">
      <c r="C721" s="158"/>
      <c r="D721" s="158"/>
    </row>
    <row r="722">
      <c r="C722" s="158"/>
      <c r="D722" s="158"/>
    </row>
    <row r="723">
      <c r="C723" s="158"/>
      <c r="D723" s="158"/>
    </row>
    <row r="724">
      <c r="C724" s="158"/>
      <c r="D724" s="158"/>
    </row>
    <row r="725">
      <c r="C725" s="158"/>
      <c r="D725" s="158"/>
    </row>
    <row r="726">
      <c r="C726" s="158"/>
      <c r="D726" s="158"/>
    </row>
    <row r="727">
      <c r="C727" s="158"/>
      <c r="D727" s="158"/>
    </row>
    <row r="728">
      <c r="C728" s="158"/>
      <c r="D728" s="158"/>
    </row>
    <row r="729">
      <c r="C729" s="158"/>
      <c r="D729" s="158"/>
    </row>
    <row r="730">
      <c r="C730" s="158"/>
      <c r="D730" s="158"/>
    </row>
    <row r="731">
      <c r="C731" s="158"/>
      <c r="D731" s="158"/>
    </row>
    <row r="732">
      <c r="C732" s="158"/>
      <c r="D732" s="158"/>
    </row>
    <row r="733">
      <c r="C733" s="158"/>
      <c r="D733" s="158"/>
    </row>
    <row r="734">
      <c r="C734" s="158"/>
      <c r="D734" s="158"/>
    </row>
    <row r="735">
      <c r="C735" s="158"/>
      <c r="D735" s="158"/>
    </row>
    <row r="736">
      <c r="C736" s="158"/>
      <c r="D736" s="158"/>
    </row>
    <row r="737">
      <c r="C737" s="158"/>
      <c r="D737" s="158"/>
    </row>
    <row r="738">
      <c r="C738" s="158"/>
      <c r="D738" s="158"/>
    </row>
    <row r="739">
      <c r="C739" s="158"/>
      <c r="D739" s="158"/>
    </row>
    <row r="740">
      <c r="C740" s="158"/>
      <c r="D740" s="158"/>
    </row>
    <row r="741">
      <c r="C741" s="158"/>
      <c r="D741" s="158"/>
    </row>
    <row r="742">
      <c r="C742" s="158"/>
      <c r="D742" s="158"/>
    </row>
    <row r="743">
      <c r="C743" s="158"/>
      <c r="D743" s="158"/>
    </row>
    <row r="744">
      <c r="C744" s="158"/>
      <c r="D744" s="158"/>
    </row>
    <row r="745">
      <c r="C745" s="158"/>
      <c r="D745" s="158"/>
    </row>
    <row r="746">
      <c r="C746" s="158"/>
      <c r="D746" s="158"/>
    </row>
    <row r="747">
      <c r="C747" s="158"/>
      <c r="D747" s="158"/>
    </row>
    <row r="748">
      <c r="C748" s="158"/>
      <c r="D748" s="158"/>
    </row>
    <row r="749">
      <c r="C749" s="158"/>
      <c r="D749" s="158"/>
    </row>
    <row r="750">
      <c r="C750" s="158"/>
      <c r="D750" s="158"/>
    </row>
    <row r="751">
      <c r="C751" s="158"/>
      <c r="D751" s="158"/>
    </row>
    <row r="752">
      <c r="C752" s="158"/>
      <c r="D752" s="158"/>
    </row>
    <row r="753">
      <c r="C753" s="158"/>
      <c r="D753" s="158"/>
    </row>
    <row r="754">
      <c r="C754" s="158"/>
      <c r="D754" s="158"/>
    </row>
    <row r="755">
      <c r="C755" s="158"/>
      <c r="D755" s="158"/>
    </row>
    <row r="756">
      <c r="C756" s="158"/>
      <c r="D756" s="158"/>
    </row>
    <row r="757">
      <c r="C757" s="158"/>
      <c r="D757" s="158"/>
    </row>
    <row r="758">
      <c r="C758" s="158"/>
      <c r="D758" s="158"/>
    </row>
    <row r="759">
      <c r="C759" s="158"/>
      <c r="D759" s="158"/>
    </row>
    <row r="760">
      <c r="C760" s="158"/>
      <c r="D760" s="158"/>
    </row>
    <row r="761">
      <c r="C761" s="158"/>
      <c r="D761" s="158"/>
    </row>
    <row r="762">
      <c r="C762" s="158"/>
      <c r="D762" s="158"/>
    </row>
    <row r="763">
      <c r="C763" s="158"/>
      <c r="D763" s="158"/>
    </row>
    <row r="764">
      <c r="C764" s="158"/>
      <c r="D764" s="158"/>
    </row>
    <row r="765">
      <c r="C765" s="158"/>
      <c r="D765" s="158"/>
    </row>
    <row r="766">
      <c r="C766" s="158"/>
      <c r="D766" s="158"/>
    </row>
    <row r="767">
      <c r="C767" s="158"/>
      <c r="D767" s="158"/>
    </row>
    <row r="768">
      <c r="C768" s="158"/>
      <c r="D768" s="158"/>
    </row>
    <row r="769">
      <c r="C769" s="158"/>
      <c r="D769" s="158"/>
    </row>
    <row r="770">
      <c r="C770" s="158"/>
      <c r="D770" s="158"/>
    </row>
    <row r="771">
      <c r="C771" s="158"/>
      <c r="D771" s="158"/>
    </row>
    <row r="772">
      <c r="C772" s="158"/>
      <c r="D772" s="158"/>
    </row>
    <row r="773">
      <c r="C773" s="158"/>
      <c r="D773" s="158"/>
    </row>
    <row r="774">
      <c r="C774" s="158"/>
      <c r="D774" s="158"/>
    </row>
    <row r="775">
      <c r="C775" s="158"/>
      <c r="D775" s="158"/>
    </row>
    <row r="776">
      <c r="C776" s="158"/>
      <c r="D776" s="158"/>
    </row>
    <row r="777">
      <c r="C777" s="158"/>
      <c r="D777" s="158"/>
    </row>
    <row r="778">
      <c r="C778" s="158"/>
      <c r="D778" s="158"/>
    </row>
    <row r="779">
      <c r="C779" s="158"/>
      <c r="D779" s="158"/>
    </row>
    <row r="780">
      <c r="C780" s="158"/>
      <c r="D780" s="158"/>
    </row>
    <row r="781">
      <c r="C781" s="158"/>
      <c r="D781" s="158"/>
    </row>
    <row r="782">
      <c r="C782" s="158"/>
      <c r="D782" s="158"/>
    </row>
    <row r="783">
      <c r="C783" s="158"/>
      <c r="D783" s="158"/>
    </row>
    <row r="784">
      <c r="C784" s="158"/>
      <c r="D784" s="158"/>
    </row>
    <row r="785">
      <c r="C785" s="158"/>
      <c r="D785" s="158"/>
    </row>
    <row r="786">
      <c r="C786" s="158"/>
      <c r="D786" s="158"/>
    </row>
    <row r="787">
      <c r="C787" s="158"/>
      <c r="D787" s="158"/>
    </row>
    <row r="788">
      <c r="C788" s="158"/>
      <c r="D788" s="158"/>
    </row>
    <row r="789">
      <c r="C789" s="158"/>
      <c r="D789" s="158"/>
    </row>
    <row r="790">
      <c r="C790" s="158"/>
      <c r="D790" s="158"/>
    </row>
    <row r="791">
      <c r="C791" s="158"/>
      <c r="D791" s="158"/>
    </row>
    <row r="792">
      <c r="C792" s="158"/>
      <c r="D792" s="158"/>
    </row>
    <row r="793">
      <c r="C793" s="158"/>
      <c r="D793" s="158"/>
    </row>
    <row r="794">
      <c r="C794" s="158"/>
      <c r="D794" s="158"/>
    </row>
    <row r="795">
      <c r="C795" s="158"/>
      <c r="D795" s="158"/>
    </row>
    <row r="796">
      <c r="C796" s="158"/>
      <c r="D796" s="158"/>
    </row>
    <row r="797">
      <c r="C797" s="158"/>
      <c r="D797" s="158"/>
    </row>
    <row r="798">
      <c r="C798" s="158"/>
      <c r="D798" s="158"/>
    </row>
    <row r="799">
      <c r="C799" s="158"/>
      <c r="D799" s="158"/>
    </row>
    <row r="800">
      <c r="C800" s="158"/>
      <c r="D800" s="158"/>
    </row>
    <row r="801">
      <c r="C801" s="158"/>
      <c r="D801" s="158"/>
    </row>
    <row r="802">
      <c r="C802" s="158"/>
      <c r="D802" s="158"/>
    </row>
    <row r="803">
      <c r="C803" s="158"/>
      <c r="D803" s="158"/>
    </row>
    <row r="804">
      <c r="C804" s="158"/>
      <c r="D804" s="158"/>
    </row>
    <row r="805">
      <c r="C805" s="158"/>
      <c r="D805" s="158"/>
    </row>
    <row r="806">
      <c r="C806" s="158"/>
      <c r="D806" s="158"/>
    </row>
    <row r="807">
      <c r="C807" s="158"/>
      <c r="D807" s="158"/>
    </row>
    <row r="808">
      <c r="C808" s="158"/>
      <c r="D808" s="158"/>
    </row>
    <row r="809">
      <c r="C809" s="158"/>
      <c r="D809" s="158"/>
    </row>
    <row r="810">
      <c r="C810" s="158"/>
      <c r="D810" s="158"/>
    </row>
    <row r="811">
      <c r="C811" s="158"/>
      <c r="D811" s="158"/>
    </row>
    <row r="812">
      <c r="C812" s="158"/>
      <c r="D812" s="158"/>
    </row>
    <row r="813">
      <c r="C813" s="158"/>
      <c r="D813" s="158"/>
    </row>
    <row r="814">
      <c r="C814" s="158"/>
      <c r="D814" s="158"/>
    </row>
    <row r="815">
      <c r="C815" s="158"/>
      <c r="D815" s="158"/>
    </row>
    <row r="816">
      <c r="C816" s="158"/>
      <c r="D816" s="158"/>
    </row>
    <row r="817">
      <c r="C817" s="158"/>
      <c r="D817" s="158"/>
    </row>
    <row r="818">
      <c r="C818" s="158"/>
      <c r="D818" s="158"/>
    </row>
    <row r="819">
      <c r="C819" s="158"/>
      <c r="D819" s="158"/>
    </row>
    <row r="820">
      <c r="C820" s="158"/>
      <c r="D820" s="158"/>
    </row>
    <row r="821">
      <c r="C821" s="158"/>
      <c r="D821" s="158"/>
    </row>
    <row r="822">
      <c r="C822" s="158"/>
      <c r="D822" s="158"/>
    </row>
    <row r="823">
      <c r="C823" s="158"/>
      <c r="D823" s="158"/>
    </row>
    <row r="824">
      <c r="C824" s="158"/>
      <c r="D824" s="158"/>
    </row>
    <row r="825">
      <c r="C825" s="158"/>
      <c r="D825" s="158"/>
    </row>
    <row r="826">
      <c r="C826" s="158"/>
      <c r="D826" s="158"/>
    </row>
    <row r="827">
      <c r="C827" s="158"/>
      <c r="D827" s="158"/>
    </row>
    <row r="828">
      <c r="C828" s="158"/>
      <c r="D828" s="158"/>
    </row>
    <row r="829">
      <c r="C829" s="158"/>
      <c r="D829" s="158"/>
    </row>
    <row r="830">
      <c r="C830" s="158"/>
      <c r="D830" s="158"/>
    </row>
    <row r="831">
      <c r="C831" s="158"/>
      <c r="D831" s="158"/>
    </row>
    <row r="832">
      <c r="C832" s="158"/>
      <c r="D832" s="158"/>
    </row>
    <row r="833">
      <c r="C833" s="158"/>
      <c r="D833" s="158"/>
    </row>
    <row r="834">
      <c r="C834" s="158"/>
      <c r="D834" s="158"/>
    </row>
    <row r="835">
      <c r="C835" s="158"/>
      <c r="D835" s="158"/>
    </row>
    <row r="836">
      <c r="C836" s="158"/>
      <c r="D836" s="158"/>
    </row>
    <row r="837">
      <c r="C837" s="158"/>
      <c r="D837" s="158"/>
    </row>
    <row r="838">
      <c r="C838" s="158"/>
      <c r="D838" s="158"/>
    </row>
    <row r="839">
      <c r="C839" s="158"/>
      <c r="D839" s="158"/>
    </row>
    <row r="840">
      <c r="C840" s="158"/>
      <c r="D840" s="158"/>
    </row>
    <row r="841">
      <c r="C841" s="158"/>
      <c r="D841" s="158"/>
    </row>
    <row r="842">
      <c r="C842" s="158"/>
      <c r="D842" s="158"/>
    </row>
    <row r="843">
      <c r="C843" s="158"/>
      <c r="D843" s="158"/>
    </row>
    <row r="844">
      <c r="C844" s="158"/>
      <c r="D844" s="158"/>
    </row>
    <row r="845">
      <c r="C845" s="158"/>
      <c r="D845" s="158"/>
    </row>
    <row r="846">
      <c r="C846" s="158"/>
      <c r="D846" s="158"/>
    </row>
    <row r="847">
      <c r="C847" s="158"/>
      <c r="D847" s="158"/>
    </row>
    <row r="848">
      <c r="C848" s="158"/>
      <c r="D848" s="158"/>
    </row>
    <row r="849">
      <c r="C849" s="158"/>
      <c r="D849" s="158"/>
    </row>
    <row r="850">
      <c r="C850" s="158"/>
      <c r="D850" s="158"/>
    </row>
    <row r="851">
      <c r="C851" s="158"/>
      <c r="D851" s="158"/>
    </row>
    <row r="852">
      <c r="C852" s="158"/>
      <c r="D852" s="158"/>
    </row>
    <row r="853">
      <c r="C853" s="158"/>
      <c r="D853" s="158"/>
    </row>
    <row r="854">
      <c r="C854" s="158"/>
      <c r="D854" s="158"/>
    </row>
    <row r="855">
      <c r="C855" s="158"/>
      <c r="D855" s="158"/>
    </row>
    <row r="856">
      <c r="C856" s="158"/>
      <c r="D856" s="158"/>
    </row>
    <row r="857">
      <c r="C857" s="158"/>
      <c r="D857" s="158"/>
    </row>
    <row r="858">
      <c r="C858" s="158"/>
      <c r="D858" s="158"/>
    </row>
    <row r="859">
      <c r="C859" s="158"/>
      <c r="D859" s="158"/>
    </row>
    <row r="860">
      <c r="C860" s="158"/>
      <c r="D860" s="158"/>
    </row>
    <row r="861">
      <c r="C861" s="158"/>
      <c r="D861" s="158"/>
    </row>
    <row r="862">
      <c r="C862" s="158"/>
      <c r="D862" s="158"/>
    </row>
    <row r="863">
      <c r="C863" s="158"/>
      <c r="D863" s="158"/>
    </row>
    <row r="864">
      <c r="C864" s="158"/>
      <c r="D864" s="158"/>
    </row>
    <row r="865">
      <c r="C865" s="158"/>
      <c r="D865" s="158"/>
    </row>
    <row r="866">
      <c r="C866" s="158"/>
      <c r="D866" s="158"/>
    </row>
    <row r="867">
      <c r="C867" s="158"/>
      <c r="D867" s="158"/>
    </row>
    <row r="868">
      <c r="C868" s="158"/>
      <c r="D868" s="158"/>
    </row>
    <row r="869">
      <c r="C869" s="158"/>
      <c r="D869" s="158"/>
    </row>
    <row r="870">
      <c r="C870" s="158"/>
      <c r="D870" s="158"/>
    </row>
    <row r="871">
      <c r="C871" s="158"/>
      <c r="D871" s="158"/>
    </row>
    <row r="872">
      <c r="C872" s="158"/>
      <c r="D872" s="158"/>
    </row>
    <row r="873">
      <c r="C873" s="158"/>
      <c r="D873" s="158"/>
    </row>
    <row r="874">
      <c r="C874" s="158"/>
      <c r="D874" s="158"/>
    </row>
    <row r="875">
      <c r="C875" s="158"/>
      <c r="D875" s="158"/>
    </row>
    <row r="876">
      <c r="C876" s="158"/>
      <c r="D876" s="158"/>
    </row>
    <row r="877">
      <c r="C877" s="158"/>
      <c r="D877" s="158"/>
    </row>
    <row r="878">
      <c r="C878" s="158"/>
      <c r="D878" s="158"/>
    </row>
    <row r="879">
      <c r="C879" s="158"/>
      <c r="D879" s="158"/>
    </row>
    <row r="880">
      <c r="C880" s="158"/>
      <c r="D880" s="158"/>
    </row>
    <row r="881">
      <c r="C881" s="158"/>
      <c r="D881" s="158"/>
    </row>
    <row r="882">
      <c r="C882" s="158"/>
      <c r="D882" s="158"/>
    </row>
    <row r="883">
      <c r="C883" s="158"/>
      <c r="D883" s="158"/>
    </row>
    <row r="884">
      <c r="C884" s="158"/>
      <c r="D884" s="158"/>
    </row>
    <row r="885">
      <c r="C885" s="158"/>
      <c r="D885" s="158"/>
    </row>
    <row r="886">
      <c r="C886" s="158"/>
      <c r="D886" s="158"/>
    </row>
    <row r="887">
      <c r="C887" s="158"/>
      <c r="D887" s="158"/>
    </row>
    <row r="888">
      <c r="C888" s="158"/>
      <c r="D888" s="158"/>
    </row>
    <row r="889">
      <c r="C889" s="158"/>
      <c r="D889" s="158"/>
    </row>
    <row r="890">
      <c r="C890" s="158"/>
      <c r="D890" s="158"/>
    </row>
    <row r="891">
      <c r="C891" s="158"/>
      <c r="D891" s="158"/>
    </row>
    <row r="892">
      <c r="C892" s="158"/>
      <c r="D892" s="158"/>
    </row>
    <row r="893">
      <c r="C893" s="158"/>
      <c r="D893" s="158"/>
    </row>
    <row r="894">
      <c r="C894" s="158"/>
      <c r="D894" s="158"/>
    </row>
    <row r="895">
      <c r="C895" s="158"/>
      <c r="D895" s="158"/>
    </row>
    <row r="896">
      <c r="C896" s="158"/>
      <c r="D896" s="158"/>
    </row>
    <row r="897">
      <c r="C897" s="158"/>
      <c r="D897" s="158"/>
    </row>
    <row r="898">
      <c r="C898" s="158"/>
      <c r="D898" s="158"/>
    </row>
    <row r="899">
      <c r="C899" s="158"/>
      <c r="D899" s="158"/>
    </row>
    <row r="900">
      <c r="C900" s="158"/>
      <c r="D900" s="158"/>
    </row>
    <row r="901">
      <c r="C901" s="158"/>
      <c r="D901" s="158"/>
    </row>
    <row r="902">
      <c r="C902" s="158"/>
      <c r="D902" s="158"/>
    </row>
    <row r="903">
      <c r="C903" s="158"/>
      <c r="D903" s="158"/>
    </row>
    <row r="904">
      <c r="C904" s="158"/>
      <c r="D904" s="158"/>
    </row>
    <row r="905">
      <c r="C905" s="158"/>
      <c r="D905" s="158"/>
    </row>
    <row r="906">
      <c r="C906" s="158"/>
      <c r="D906" s="158"/>
    </row>
    <row r="907">
      <c r="C907" s="158"/>
      <c r="D907" s="158"/>
    </row>
    <row r="908">
      <c r="C908" s="158"/>
      <c r="D908" s="158"/>
    </row>
    <row r="909">
      <c r="C909" s="158"/>
      <c r="D909" s="158"/>
    </row>
    <row r="910">
      <c r="C910" s="158"/>
      <c r="D910" s="158"/>
    </row>
    <row r="911">
      <c r="C911" s="158"/>
      <c r="D911" s="158"/>
    </row>
    <row r="912">
      <c r="C912" s="158"/>
      <c r="D912" s="158"/>
    </row>
    <row r="913">
      <c r="C913" s="158"/>
      <c r="D913" s="158"/>
    </row>
    <row r="914">
      <c r="C914" s="158"/>
      <c r="D914" s="158"/>
    </row>
    <row r="915">
      <c r="C915" s="158"/>
      <c r="D915" s="158"/>
    </row>
    <row r="916">
      <c r="C916" s="158"/>
      <c r="D916" s="158"/>
    </row>
    <row r="917">
      <c r="C917" s="158"/>
      <c r="D917" s="158"/>
    </row>
    <row r="918">
      <c r="C918" s="158"/>
      <c r="D918" s="158"/>
    </row>
    <row r="919">
      <c r="C919" s="158"/>
      <c r="D919" s="158"/>
    </row>
    <row r="920">
      <c r="C920" s="158"/>
      <c r="D920" s="158"/>
    </row>
    <row r="921">
      <c r="C921" s="158"/>
      <c r="D921" s="158"/>
    </row>
    <row r="922">
      <c r="C922" s="158"/>
      <c r="D922" s="158"/>
    </row>
    <row r="923">
      <c r="C923" s="158"/>
      <c r="D923" s="158"/>
    </row>
    <row r="924">
      <c r="C924" s="158"/>
      <c r="D924" s="158"/>
    </row>
    <row r="925">
      <c r="C925" s="158"/>
      <c r="D925" s="158"/>
    </row>
    <row r="926">
      <c r="C926" s="158"/>
      <c r="D926" s="158"/>
    </row>
    <row r="927">
      <c r="C927" s="158"/>
      <c r="D927" s="158"/>
    </row>
    <row r="928">
      <c r="C928" s="158"/>
      <c r="D928" s="158"/>
    </row>
    <row r="929">
      <c r="C929" s="158"/>
      <c r="D929" s="158"/>
    </row>
    <row r="930">
      <c r="C930" s="158"/>
      <c r="D930" s="158"/>
    </row>
    <row r="931">
      <c r="C931" s="158"/>
      <c r="D931" s="158"/>
    </row>
    <row r="932">
      <c r="C932" s="158"/>
      <c r="D932" s="158"/>
    </row>
    <row r="933">
      <c r="C933" s="158"/>
      <c r="D933" s="158"/>
    </row>
    <row r="934">
      <c r="C934" s="158"/>
      <c r="D934" s="158"/>
    </row>
    <row r="935">
      <c r="C935" s="158"/>
      <c r="D935" s="158"/>
    </row>
    <row r="936">
      <c r="C936" s="158"/>
      <c r="D936" s="158"/>
    </row>
    <row r="937">
      <c r="C937" s="158"/>
      <c r="D937" s="158"/>
    </row>
    <row r="938">
      <c r="C938" s="158"/>
      <c r="D938" s="158"/>
    </row>
    <row r="939">
      <c r="C939" s="158"/>
      <c r="D939" s="158"/>
    </row>
    <row r="940">
      <c r="C940" s="158"/>
      <c r="D940" s="158"/>
    </row>
    <row r="941">
      <c r="C941" s="158"/>
      <c r="D941" s="158"/>
    </row>
    <row r="942">
      <c r="C942" s="158"/>
      <c r="D942" s="158"/>
    </row>
    <row r="943">
      <c r="C943" s="158"/>
      <c r="D943" s="158"/>
    </row>
    <row r="944">
      <c r="C944" s="158"/>
      <c r="D944" s="158"/>
    </row>
    <row r="945">
      <c r="C945" s="158"/>
      <c r="D945" s="158"/>
    </row>
    <row r="946">
      <c r="C946" s="158"/>
      <c r="D946" s="158"/>
    </row>
    <row r="947">
      <c r="C947" s="158"/>
      <c r="D947" s="158"/>
    </row>
    <row r="948">
      <c r="C948" s="158"/>
      <c r="D948" s="158"/>
    </row>
    <row r="949">
      <c r="C949" s="158"/>
      <c r="D949" s="158"/>
    </row>
    <row r="950">
      <c r="C950" s="158"/>
      <c r="D950" s="158"/>
    </row>
    <row r="951">
      <c r="C951" s="158"/>
      <c r="D951" s="158"/>
    </row>
    <row r="952">
      <c r="C952" s="158"/>
      <c r="D952" s="158"/>
    </row>
    <row r="953">
      <c r="C953" s="158"/>
      <c r="D953" s="158"/>
    </row>
    <row r="954">
      <c r="C954" s="158"/>
      <c r="D954" s="158"/>
    </row>
    <row r="955">
      <c r="C955" s="158"/>
      <c r="D955" s="158"/>
    </row>
    <row r="956">
      <c r="C956" s="158"/>
      <c r="D956" s="158"/>
    </row>
    <row r="957">
      <c r="C957" s="158"/>
      <c r="D957" s="158"/>
    </row>
    <row r="958">
      <c r="C958" s="158"/>
      <c r="D958" s="158"/>
    </row>
    <row r="959">
      <c r="C959" s="158"/>
      <c r="D959" s="158"/>
    </row>
    <row r="960">
      <c r="C960" s="158"/>
      <c r="D960" s="158"/>
    </row>
    <row r="961">
      <c r="C961" s="158"/>
      <c r="D961" s="158"/>
    </row>
    <row r="962">
      <c r="C962" s="158"/>
      <c r="D962" s="158"/>
    </row>
    <row r="963">
      <c r="C963" s="158"/>
      <c r="D963" s="158"/>
    </row>
    <row r="964">
      <c r="C964" s="158"/>
      <c r="D964" s="158"/>
    </row>
    <row r="965">
      <c r="C965" s="158"/>
      <c r="D965" s="158"/>
    </row>
    <row r="966">
      <c r="C966" s="158"/>
      <c r="D966" s="158"/>
    </row>
    <row r="967">
      <c r="C967" s="158"/>
      <c r="D967" s="158"/>
    </row>
    <row r="968">
      <c r="C968" s="158"/>
      <c r="D968" s="158"/>
    </row>
    <row r="969">
      <c r="C969" s="158"/>
      <c r="D969" s="158"/>
    </row>
    <row r="970">
      <c r="C970" s="158"/>
      <c r="D970" s="158"/>
    </row>
    <row r="971">
      <c r="C971" s="158"/>
      <c r="D971" s="158"/>
    </row>
    <row r="972">
      <c r="C972" s="158"/>
      <c r="D972" s="158"/>
    </row>
    <row r="973">
      <c r="C973" s="158"/>
      <c r="D973" s="158"/>
    </row>
    <row r="974">
      <c r="C974" s="158"/>
      <c r="D974" s="158"/>
    </row>
    <row r="975">
      <c r="C975" s="158"/>
      <c r="D975" s="158"/>
    </row>
    <row r="976">
      <c r="C976" s="158"/>
      <c r="D976" s="158"/>
    </row>
    <row r="977">
      <c r="C977" s="158"/>
      <c r="D977" s="158"/>
    </row>
    <row r="978">
      <c r="C978" s="158"/>
      <c r="D978" s="158"/>
    </row>
    <row r="979">
      <c r="C979" s="158"/>
      <c r="D979" s="158"/>
    </row>
    <row r="980">
      <c r="C980" s="158"/>
      <c r="D980" s="158"/>
    </row>
    <row r="981">
      <c r="C981" s="158"/>
      <c r="D981" s="158"/>
    </row>
    <row r="982">
      <c r="C982" s="158"/>
      <c r="D982" s="158"/>
    </row>
    <row r="983">
      <c r="C983" s="158"/>
      <c r="D983" s="158"/>
    </row>
    <row r="984">
      <c r="C984" s="158"/>
      <c r="D984" s="158"/>
    </row>
    <row r="985">
      <c r="C985" s="158"/>
      <c r="D985" s="158"/>
    </row>
    <row r="986">
      <c r="C986" s="158"/>
      <c r="D986" s="158"/>
    </row>
    <row r="987">
      <c r="C987" s="158"/>
      <c r="D987" s="158"/>
    </row>
    <row r="988">
      <c r="C988" s="158"/>
      <c r="D988" s="158"/>
    </row>
    <row r="989">
      <c r="C989" s="158"/>
      <c r="D989" s="158"/>
    </row>
    <row r="990">
      <c r="C990" s="158"/>
      <c r="D990" s="158"/>
    </row>
    <row r="991">
      <c r="C991" s="158"/>
      <c r="D991" s="158"/>
    </row>
    <row r="992">
      <c r="C992" s="158"/>
      <c r="D992" s="158"/>
    </row>
    <row r="993">
      <c r="C993" s="158"/>
      <c r="D993" s="158"/>
    </row>
    <row r="994">
      <c r="C994" s="158"/>
      <c r="D994" s="158"/>
    </row>
  </sheetData>
  <mergeCells count="8">
    <mergeCell ref="A1:B1"/>
    <mergeCell ref="A2:B2"/>
    <mergeCell ref="A3:B3"/>
    <mergeCell ref="H3:I3"/>
    <mergeCell ref="A8:B8"/>
    <mergeCell ref="E17:H17"/>
    <mergeCell ref="E19:F19"/>
    <mergeCell ref="G19:H19"/>
  </mergeCell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0">
      <c r="M10" s="81">
        <v>124926.48</v>
      </c>
    </row>
  </sheetData>
  <drawing r:id="rId1"/>
</worksheet>
</file>